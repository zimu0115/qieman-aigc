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总览与结论" sheetId="2" r:id="rId5"/>
    <sheet name="课程总表" sheetId="3" r:id="rId6"/>
    <sheet name="线下探访清单" sheetId="4" r:id="rId7"/>
    <sheet name="评分规则" sheetId="5" r:id="rId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<sst xmlns="http://schemas.openxmlformats.org/spreadsheetml/2006/main" count="572" uniqueCount="572">
  <si>
    <t xml:space="preserve">  </t>
  </si>
  <si>
    <t xml:space="preserve">板块</t>
  </si>
  <si>
    <t xml:space="preserve">结论/推荐</t>
  </si>
  <si>
    <t xml:space="preserve">适合对象</t>
  </si>
  <si>
    <t xml:space="preserve">下一步动作</t>
  </si>
  <si>
    <t xml:space="preserve">判断说明</t>
  </si>
  <si>
    <t xml:space="preserve">更新时间</t>
  </si>
  <si>
    <t xml:space="preserve">2026-09-01（北京）</t>
  </si>
  <si>
    <t xml:space="preserve">所有时间与招生状态按此日期判断</t>
  </si>
  <si>
    <t xml:space="preserve">先核验班期，再预约到访</t>
  </si>
  <si>
    <t xml:space="preserve">附件仅作为线索，不把其中宣传当成事实</t>
  </si>
  <si>
    <t xml:space="preserve">首选：纯漫剧长周期</t>
  </si>
  <si>
    <t xml:space="preserve">中传 AIGC视觉影像通关课·短剧阶段</t>
  </si>
  <si>
    <t xml:space="preserve">希望系统做AI短剧/漫剧并完成阶段成果</t>
  </si>
  <si>
    <t xml:space="preserve">先问能否单报短剧阶段、导师/课时/算力</t>
  </si>
  <si>
    <t xml:space="preserve">当前短剧阶段9月9日开课，官方信息最完整</t>
  </si>
  <si>
    <t xml:space="preserve">首选：综合全流程</t>
  </si>
  <si>
    <t xml:space="preserve">中传 AI超级创作者计划</t>
  </si>
  <si>
    <t xml:space="preserve">想兼顾漫剧、短剧、商业短片和团队SOP</t>
  </si>
  <si>
    <t xml:space="preserve">提前1-2天预约到校，看实验室与往届作品</t>
  </si>
  <si>
    <t xml:space="preserve">9-12月均有明确班期，10天强度较高</t>
  </si>
  <si>
    <t xml:space="preserve">首选：行业短训</t>
  </si>
  <si>
    <t xml:space="preserve">中国网络视听协会 AIGC应用与创作培训</t>
  </si>
  <si>
    <t xml:space="preserve">影视/MCN/内容团队，想快速补行业方法</t>
  </si>
  <si>
    <t xml:space="preserve">9月15日18:00前报名，直接参训比跑现场咨询更合适</t>
  </si>
  <si>
    <t xml:space="preserve">3500元/3天，性价比高但个人成片深度有限</t>
  </si>
  <si>
    <t xml:space="preserve">首选：项目/就业导向</t>
  </si>
  <si>
    <t xml:space="preserve">国开培训中心×AI未来电影研究院</t>
  </si>
  <si>
    <t xml:space="preserve">想用7天试水或1个月做作品集</t>
  </si>
  <si>
    <t xml:space="preserve">先电话拿最近班期、详细门牌、导师名单与试听安排</t>
  </si>
  <si>
    <t xml:space="preserve">内容完整，但具体地址和每期日期不公开，需先核验</t>
  </si>
  <si>
    <t xml:space="preserve">最值得做产业调研</t>
  </si>
  <si>
    <t xml:space="preserve">宋庄AI短剧OPC社区</t>
  </si>
  <si>
    <t xml:space="preserve">关注AI漫剧生产、订单、OPC孵化与团队协作</t>
  </si>
  <si>
    <t xml:space="preserve">约访园区，重点访谈在训学员/入驻创作者</t>
  </si>
  <si>
    <t xml:space="preserve">先看真实订单、分成和版权，不把“接单”当保证</t>
  </si>
  <si>
    <t xml:space="preserve">低预算试水</t>
  </si>
  <si>
    <t xml:space="preserve">北京市民技能课堂/AI漫剧职业体验</t>
  </si>
  <si>
    <t xml:space="preserve">零基础，尚未确定是否值得投入万元学费</t>
  </si>
  <si>
    <t xml:space="preserve">先在“就业在北京”或“北京人社”查最近点位</t>
  </si>
  <si>
    <t xml:space="preserve">不同班次差异很大，选AI漫剧/视频实操而非纯通识</t>
  </si>
  <si>
    <t xml:space="preserve">高风险共性</t>
  </si>
  <si>
    <t xml:space="preserve">价格不公开、地址预约后才给、就业/接单口头承诺</t>
  </si>
  <si>
    <t xml:space="preserve">适用于大多数附件里的民营线索</t>
  </si>
  <si>
    <t xml:space="preserve">未看合同、发票主体、退费条款、完整学员作品前不交定金</t>
  </si>
  <si>
    <t xml:space="preserve">总分低不代表一定差，代表当前证据不足</t>
  </si>
  <si>
    <t xml:space="preserve">看分方法</t>
  </si>
  <si>
    <t xml:space="preserve">总分=可信20+匹配25+产出20+性价比15+线下10+招生10</t>
  </si>
  <si>
    <t xml:space="preserve">S≥90；A≥80；B≥70；C≥60；D&lt;60</t>
  </si>
  <si>
    <t xml:space="preserve">“可否线下了解”比总分更直接回答是否值得跑一趟</t>
  </si>
  <si>
    <t xml:space="preserve">已结束课程即使质量高，也会因当前招生明确度而降分</t>
  </si>
  <si>
    <t xml:space="preserve">排名</t>
  </si>
  <si>
    <t xml:space="preserve">课程/机构</t>
  </si>
  <si>
    <t xml:space="preserve">当前状态</t>
  </si>
  <si>
    <t xml:space="preserve">类型</t>
  </si>
  <si>
    <t xml:space="preserve">北京地点</t>
  </si>
  <si>
    <t xml:space="preserve">时间/周期</t>
  </si>
  <si>
    <t xml:space="preserve">费用</t>
  </si>
  <si>
    <t xml:space="preserve">课程匹配与产出</t>
  </si>
  <si>
    <t xml:space="preserve">证据可信度</t>
  </si>
  <si>
    <t xml:space="preserve">主办/信息可信(20)</t>
  </si>
  <si>
    <t xml:space="preserve">漫剧/AI视频匹配(25)</t>
  </si>
  <si>
    <t xml:space="preserve">实操/作品产出(20)</t>
  </si>
  <si>
    <t xml:space="preserve">价格透明/性价比(15)</t>
  </si>
  <si>
    <t xml:space="preserve">线下可验证性(10)</t>
  </si>
  <si>
    <t xml:space="preserve">当前招生明确度(10)</t>
  </si>
  <si>
    <t xml:space="preserve">总分(100)</t>
  </si>
  <si>
    <t xml:space="preserve">评级</t>
  </si>
  <si>
    <t xml:space="preserve">线下探访建议</t>
  </si>
  <si>
    <t xml:space="preserve">可否线下了解</t>
  </si>
  <si>
    <t xml:space="preserve">主要风险/待确认</t>
  </si>
  <si>
    <t xml:space="preserve">联系方式</t>
  </si>
  <si>
    <t xml:space="preserve">来源链接</t>
  </si>
  <si>
    <t xml:space="preserve">来源性质</t>
  </si>
  <si>
    <t xml:space="preserve">附件已收录</t>
  </si>
  <si>
    <t xml:space="preserve">中国传媒大学·AIGC视觉影像通关课（AIGC短剧课阶段）</t>
  </si>
  <si>
    <t xml:space="preserve">招生中</t>
  </si>
  <si>
    <t xml:space="preserve">高校官方</t>
  </si>
  <si>
    <t xml:space="preserve">北京市朝阳区定福庄东街1号，中传23号楼北侧209室</t>
  </si>
  <si>
    <t xml:space="preserve">短剧阶段：2026-09-09至10-12；全体系四阶段</t>
  </si>
  <si>
    <t xml:space="preserve">6450元/阶段；四阶段合计25800元</t>
  </si>
  <si>
    <t xml:space="preserve">短剧阶段直接覆盖AI短剧/漫剧视觉、工具、成片与商业视觉；完成全体系并考核后发中传结业证</t>
  </si>
  <si>
    <t xml:space="preserve">中传继续教育学院官方简章，时间、价格、地址、电话完整</t>
  </si>
  <si>
    <t xml:space="preserve">优先预约实地咨询；重点问能否只报短剧阶段、阶段作品标准和算力成本</t>
  </si>
  <si>
    <t xml:space="preserve">可直接预约</t>
  </si>
  <si>
    <t xml:space="preserve">课程大纲以图片呈现，短剧阶段的详细课时与导师名单需现场索取</t>
  </si>
  <si>
    <t xml:space="preserve">13811279121；17600813621；15142958814；010-65779538/83185</t>
  </si>
  <si>
    <t xml:space="preserve">https://jxgz.cuc.edu.cn/2026/0604/c7772a271339/page.htm</t>
  </si>
  <si>
    <t xml:space="preserve">高校官网</t>
  </si>
  <si>
    <t xml:space="preserve">否</t>
  </si>
  <si>
    <t xml:space="preserve">中国传媒大学·AI超级创作者计划 AIGC影像创作全流程研习班</t>
  </si>
  <si>
    <t xml:space="preserve">北京市朝阳区定福庄东街1号，中传23号楼AIGC实验室</t>
  </si>
  <si>
    <t xml:space="preserve">10天集中：9/11-20、10/16-25、11/20-29、12/18-27</t>
  </si>
  <si>
    <t xml:space="preserve">9600元；符合条件9000元</t>
  </si>
  <si>
    <t xml:space="preserve">覆盖漫剧/短剧/商业短片，含导演、剧本、主流工具、音频、团队SOP、完整作品；1年内可免费复训2次</t>
  </si>
  <si>
    <t xml:space="preserve">中传继续教育学院官方简章，课程、班期、价格、退改、地址齐全</t>
  </si>
  <si>
    <t xml:space="preserve">优先预约实地咨询；适合先看教学环境、学员作品和助教配置</t>
  </si>
  <si>
    <t xml:space="preserve">10天强度大；商业落地与赛事资源属于增值服务，需问清具体边界</t>
  </si>
  <si>
    <t xml:space="preserve">13161816080；010-65779089；lccuc@cuc.edu.cn</t>
  </si>
  <si>
    <t xml:space="preserve">https://jxjy.cuc.edu.cn/2026/0717/c13404a272813/page.htm</t>
  </si>
  <si>
    <t xml:space="preserve">是</t>
  </si>
  <si>
    <t xml:space="preserve">中国网络视听协会·2026 AIGC应用与创作培训班（第1期）</t>
  </si>
  <si>
    <t xml:space="preserve">行业协会</t>
  </si>
  <si>
    <t xml:space="preserve">北京市房山区长阳镇长于路甲3号，协会产业园艺术之家酒店</t>
  </si>
  <si>
    <t xml:space="preserve">2026-09-16至09-18，3天线下集中</t>
  </si>
  <si>
    <t xml:space="preserve">3500元，不含食宿</t>
  </si>
  <si>
    <t xml:space="preserve">AIGC趋势、爆款AI剧、AIGC短剧全流程实操、内容生产案例；颁结业证</t>
  </si>
  <si>
    <t xml:space="preserve">协会官网正式通知，日期、场地、费用、对象、电话完整</t>
  </si>
  <si>
    <t xml:space="preserve">值得报名参训；不建议无预约临时到场咨询</t>
  </si>
  <si>
    <t xml:space="preserve">限报名参训</t>
  </si>
  <si>
    <t xml:space="preserve">3天偏行业认知+流程，个人作品完成度可能不如长班；9月15日18:00截止</t>
  </si>
  <si>
    <t xml:space="preserve">翟老师 13311223521</t>
  </si>
  <si>
    <t xml:space="preserve">https://www.cnsa.cn/art/2026/8/20/art_1954_49183.html</t>
  </si>
  <si>
    <t xml:space="preserve">协会官网</t>
  </si>
  <si>
    <t xml:space="preserve">国家开放大学培训中心×AI未来电影研究院·AIGC影视创作专项培训</t>
  </si>
  <si>
    <t xml:space="preserve">常态化招生</t>
  </si>
  <si>
    <t xml:space="preserve">高校培训中心+产业机构</t>
  </si>
  <si>
    <t xml:space="preserve">北京亦庄AIGC+OPC数字影视产业生态实训基地；具体门牌报名后通知</t>
  </si>
  <si>
    <t xml:space="preserve">7天强化营 / 1个月全流程营，全年常态化</t>
  </si>
  <si>
    <t xml:space="preserve">6800元 / 12800元</t>
  </si>
  <si>
    <t xml:space="preserve">全线下项目制；7天产出1-2条成片，1个月产出完整短剧/宣传片与作品集，含接单、账号、IP孵化</t>
  </si>
  <si>
    <t xml:space="preserve">国开培训中心官网通知，费用与内容明确；具体地址和每期日期未公开</t>
  </si>
  <si>
    <t xml:space="preserve">优先电话索取最近班期、详细门牌并预约试听/参观</t>
  </si>
  <si>
    <t xml:space="preserve">先电话确认</t>
  </si>
  <si>
    <t xml:space="preserve">先核实授课导师、班级规模、实际商业项目、双证书用途；不要只凭“接单/孵化”承诺缴费</t>
  </si>
  <si>
    <t xml:space="preserve">010-66490280；17310161594；1771584501@qq.com</t>
  </si>
  <si>
    <t xml:space="preserve">https://www.xiangxue8.com/cms/zytz/166865.htm</t>
  </si>
  <si>
    <t xml:space="preserve">高校培训中心官网</t>
  </si>
  <si>
    <t xml:space="preserve">中国传媒大学·AI漫剧创作实战训练营</t>
  </si>
  <si>
    <t xml:space="preserve">本期已结束，待下一期</t>
  </si>
  <si>
    <t xml:space="preserve">中国传媒大学校内23号楼</t>
  </si>
  <si>
    <t xml:space="preserve">往期：2026-07-27至08-02，7天+3晚加练</t>
  </si>
  <si>
    <t xml:space="preserve">8800元，不含食宿</t>
  </si>
  <si>
    <t xml:space="preserve">文-资-视-剪全流程，完成1-2集AI漫剧；含BizyAir算力、Mac、展映与中传结业证</t>
  </si>
  <si>
    <t xml:space="preserve">中传官方简章完整，但目前只查到已结束班次</t>
  </si>
  <si>
    <t xml:space="preserve">课程本身强；先电话确认下一期，确认后再去校内咨询</t>
  </si>
  <si>
    <t xml:space="preserve">当前无新班期；“商业项目/人才推荐”为有条件机会，不等于就业承诺</t>
  </si>
  <si>
    <t xml:space="preserve">任老师18810385981；黄老师18893848591</t>
  </si>
  <si>
    <t xml:space="preserve">https://gaozhi.cuc.edu.cn/2026/0724/c4784a272960/page.htm</t>
  </si>
  <si>
    <t xml:space="preserve">清华大学美术学院·AI漫剧视觉创作与实践研修班</t>
  </si>
  <si>
    <t xml:space="preserve">本期进行中，需确认余位/下一期</t>
  </si>
  <si>
    <t xml:space="preserve">北京市海淀区清华园及腾讯会议</t>
  </si>
  <si>
    <t xml:space="preserve">36学时，2026年6月至9月，线上线下混合</t>
  </si>
  <si>
    <t xml:space="preserve">6000元，不含食宿交通</t>
  </si>
  <si>
    <t xml:space="preserve">偏视觉创作、艺术审美与AI实践，兼顾商业落地；清华继续教育证书可查</t>
  </si>
  <si>
    <t xml:space="preserve">清华美院官方简章，主办、学费、联系方式明确；具体线下课表未公开</t>
  </si>
  <si>
    <t xml:space="preserve">可预约咨询；重点问剩余线下课、是否可插班和下一期计划</t>
  </si>
  <si>
    <t xml:space="preserve">不是全线下；当前学期接近尾声，需确认实际可参加课时</t>
  </si>
  <si>
    <t xml:space="preserve">13699186014；13718294250；010-62797585</t>
  </si>
  <si>
    <t xml:space="preserve">https://www.ad.tsinghua.edu.cn/info/1577/32528.htm</t>
  </si>
  <si>
    <t xml:space="preserve">中国传媒大学·短视频编导与创作培训班（9月第16期）</t>
  </si>
  <si>
    <t xml:space="preserve">中国传媒大学校内23号楼人工智能培训中心</t>
  </si>
  <si>
    <t xml:space="preserve">2026-09-18至09-24，7天集中</t>
  </si>
  <si>
    <t xml:space="preserve">6500元，不含食宿</t>
  </si>
  <si>
    <t xml:space="preserve">实拍、口播、剪辑、账号运营与AIGC短片0-1；适合AI+真人拍摄，不是纯漫剧班</t>
  </si>
  <si>
    <t xml:space="preserve">中传官方简章，班期、价格、地址、退改和电话齐全</t>
  </si>
  <si>
    <t xml:space="preserve">适合需要补编导/实拍的人，预约后可去看场地和咨询</t>
  </si>
  <si>
    <t xml:space="preserve">AIGC只占课程一部分；若目标是纯AI漫剧，优先选前两项</t>
  </si>
  <si>
    <t xml:space="preserve">13810205619；010-65779089</t>
  </si>
  <si>
    <t xml:space="preserve">https://jxjy.cuc.edu.cn/2026/0726/c13404a272968/page.htm</t>
  </si>
  <si>
    <t xml:space="preserve">宋庄AI短剧OPC社区培训营（漫彩流光×软通教育×宋庄产业生态）</t>
  </si>
  <si>
    <t xml:space="preserve">已宣布招生，排期/费用待确认</t>
  </si>
  <si>
    <t xml:space="preserve">园区产教融合</t>
  </si>
  <si>
    <t xml:space="preserve">北京通州宋庄新视听产业廊道/艺创云阶一带，具体教学点待确认</t>
  </si>
  <si>
    <t xml:space="preserve">按项目排期；首期已完成试运行</t>
  </si>
  <si>
    <t xml:space="preserve">报道提到培育/实训，具体收费政策未公开</t>
  </si>
  <si>
    <t xml:space="preserve">AI短剧实训、拉片审美、OPC孵化、真实订单协作；首期22人，8人进入OPC社区承接样片任务</t>
  </si>
  <si>
    <t xml:space="preserve">近期区域报道与已运行班次可核验，但招生细则和合同未公开</t>
  </si>
  <si>
    <t xml:space="preserve">非常值得做产业调研；先联系园区/主办方约访，再去看真实项目和工位</t>
  </si>
  <si>
    <t xml:space="preserve">先电话/园区预约</t>
  </si>
  <si>
    <t xml:space="preserve">免费名额、订单来源、分成、知识产权与留用条件必须书面确认</t>
  </si>
  <si>
    <t xml:space="preserve">联系宋庄艺创云阶/漫彩流光/软通教育，以官方报名通知为准</t>
  </si>
  <si>
    <t xml:space="preserve">https://www.sohu.com/a/1066753443_121106842</t>
  </si>
  <si>
    <t xml:space="preserve">近期区域报道</t>
  </si>
  <si>
    <t xml:space="preserve">中影年年·启遥星辰（晓达星序）AIGC漫剧/UE5实训</t>
  </si>
  <si>
    <t xml:space="preserve">招生信息存在</t>
  </si>
  <si>
    <t xml:space="preserve">产业实训</t>
  </si>
  <si>
    <t xml:space="preserve">北京市昌平区北七家镇年年新视听产业园7-8楼</t>
  </si>
  <si>
    <t xml:space="preserve">约5个月线下项目制，具体排期待确认</t>
  </si>
  <si>
    <t xml:space="preserve">未公示；附件称就业服务费模式</t>
  </si>
  <si>
    <t xml:space="preserve">AIGC影视动画+UE5虚拟制作，每周阶段任务与作品集；产业基地属性有吸引力</t>
  </si>
  <si>
    <t xml:space="preserve">主要依据聚合平台招生页和附件，非中影年年官方招生通知</t>
  </si>
  <si>
    <t xml:space="preserve">可以约去基地看班；只在看过合同、作品和在读学员后再决策</t>
  </si>
  <si>
    <t xml:space="preserve">先电话预约</t>
  </si>
  <si>
    <t xml:space="preserve">报价、退款/就业协议、课程主体、项目真实性需逐条核验；不要接受口头就业保证</t>
  </si>
  <si>
    <t xml:space="preserve">400-660-3310（聚合平台建联）</t>
  </si>
  <si>
    <t xml:space="preserve">https://www.91goodschool.com/news/16853-10339038.html</t>
  </si>
  <si>
    <t xml:space="preserve">附件+聚合平台</t>
  </si>
  <si>
    <t xml:space="preserve">火星时代教育·AIGC导演/AI视觉导演相关课程</t>
  </si>
  <si>
    <t xml:space="preserve">招生宣传活跃</t>
  </si>
  <si>
    <t xml:space="preserve">老牌职业教育</t>
  </si>
  <si>
    <t xml:space="preserve">海淀区杏石口路81号火星时代大厦；具体班级校区需确认</t>
  </si>
  <si>
    <t xml:space="preserve">附件称2个月全日制/3个月周末；官网未见统一公开排期</t>
  </si>
  <si>
    <t xml:space="preserve">需询价；附件参考16800-22800元</t>
  </si>
  <si>
    <t xml:space="preserve">AI导演思维、剧本、分镜、AI生图生视频、后期与作品打磨；机构有长期CG培训基础</t>
  </si>
  <si>
    <t xml:space="preserve">机构官网有2026课程发布，但学费、班期和交付标准不透明</t>
  </si>
  <si>
    <t xml:space="preserve">可预约试听与参观；重点看最新一届真实完整作品和授课老师</t>
  </si>
  <si>
    <t xml:space="preserve">可预约试听</t>
  </si>
  <si>
    <t xml:space="preserve">“就业内推/合作企业”不能替代就业结果；必须拿到书面课表、退费条款和总费用</t>
  </si>
  <si>
    <t xml:space="preserve">400-814-8888；hxsd.com</t>
  </si>
  <si>
    <t xml:space="preserve">https://www.hxsd.com/content/59420/</t>
  </si>
  <si>
    <t xml:space="preserve">机构官网+附件</t>
  </si>
  <si>
    <t xml:space="preserve">北京印刷学院·AIGC数字图像内容创作与创新应用研修班</t>
  </si>
  <si>
    <t xml:space="preserve">往期已结束</t>
  </si>
  <si>
    <t xml:space="preserve">北京印刷学院校内</t>
  </si>
  <si>
    <t xml:space="preserve">往期：2026-07-20至07-23，4天</t>
  </si>
  <si>
    <t xml:space="preserve">2800元</t>
  </si>
  <si>
    <t xml:space="preserve">AIGC数字图像/视觉内容，费用低、官方组织；与漫剧完整生产的匹配度中等</t>
  </si>
  <si>
    <t xml:space="preserve">高校官网正式通知；目前为往期线索</t>
  </si>
  <si>
    <t xml:space="preserve">只作为下一期候补，先问是否复开</t>
  </si>
  <si>
    <t xml:space="preserve">当前无在招班期；课程更偏图像与视觉应用，不一定覆盖完整漫剧成片</t>
  </si>
  <si>
    <t xml:space="preserve">以北京印刷学院继续教育学院通知为准</t>
  </si>
  <si>
    <t xml:space="preserve">https://ces.bigc.edu.cn/tzgg/94d522a38e38475fa0538e180b4458c0.htm</t>
  </si>
  <si>
    <t xml:space="preserve">北京市人社局·市民技能课堂“身边的AI课”/AI漫剧职业体验</t>
  </si>
  <si>
    <t xml:space="preserve">持续发布/就近报名</t>
  </si>
  <si>
    <t xml:space="preserve">政府公益技能培训</t>
  </si>
  <si>
    <t xml:space="preserve">全市16区及经开区，就业服务站、街道、院校、培训机构等</t>
  </si>
  <si>
    <t xml:space="preserve">首批108堂，具体班次滚动查询</t>
  </si>
  <si>
    <t xml:space="preserve">多为公益体验/技能提升，按具体课程</t>
  </si>
  <si>
    <t xml:space="preserve">含AI漫剧制作、视频剪辑、AI工具、就业服务；适合低成本试水和摸底</t>
  </si>
  <si>
    <t xml:space="preserve">北京市人社局官方发布，单个班次仍需在官方入口查询</t>
  </si>
  <si>
    <t xml:space="preserve">优先查离你近的AI漫剧/视频班，适合先体验再决定是否报高价课</t>
  </si>
  <si>
    <t xml:space="preserve">按班次报名</t>
  </si>
  <si>
    <t xml:space="preserve">108堂内容差异很大，不要把通识体验课当成职业训练营</t>
  </si>
  <si>
    <t xml:space="preserve">北京12333；“就业在北京”页面/“北京人社”公众号</t>
  </si>
  <si>
    <t xml:space="preserve">https://rsj.beijing.gov.cn/zmsxw/xwsl/202608/t20260810_4816724.html</t>
  </si>
  <si>
    <t xml:space="preserve">政府官网</t>
  </si>
  <si>
    <t xml:space="preserve">火星人教育·AI漫剧导演班</t>
  </si>
  <si>
    <t xml:space="preserve">职业培训机构</t>
  </si>
  <si>
    <t xml:space="preserve">官网同一时期出现建外SOHO 901/1003、北京联合大学商务学院孵化基地等不同地址</t>
  </si>
  <si>
    <t xml:space="preserve">官网称4周速成/多班型，具体开班需问</t>
  </si>
  <si>
    <t xml:space="preserve">未公示</t>
  </si>
  <si>
    <t xml:space="preserve">纯AI漫剧匹配度高，强调全流程作品集、重修、内推与接单渠道</t>
  </si>
  <si>
    <t xml:space="preserve">机构官网有课程页，但校址自相矛盾、价格不透明</t>
  </si>
  <si>
    <t xml:space="preserve">可以试听，但必须先电话确认当天校址，并要求看实际教室与完整学员作品</t>
  </si>
  <si>
    <t xml:space="preserve">官网地址冲突；“学不会重修/就业内推/接单渠道”需写入合同才有意义</t>
  </si>
  <si>
    <t xml:space="preserve">010-65918670；微信18611843799；公众号hxredu</t>
  </si>
  <si>
    <t xml:space="preserve">https://www.2ds.cn/%E7%81%AB%E6%98%9F%E4%BA%BA%E6%95%99%E8%82%B2%E3%80%8Cai-%E6%BC%AB%E5%89%A7%E5%AF%BC%E6%BC%94%E7%8F%AD%E3%80%8D%E6%8B%9B%E7%94%9F%E7%AE%80%E7%AB%A0/</t>
  </si>
  <si>
    <t xml:space="preserve">完美动力教育（北京校区）·AIGC漫剧/AI短剧</t>
  </si>
  <si>
    <t xml:space="preserve">附件称朝阳区三间房乡意菲克大厦；官网称北京有实体校区，具体班址需确认</t>
  </si>
  <si>
    <t xml:space="preserve">全日制2.5-3个月/周末4-5个月/短期15-30天等</t>
  </si>
  <si>
    <t xml:space="preserve">附件参考7200-23800元；官网未统一公示</t>
  </si>
  <si>
    <t xml:space="preserve">MJ/SD/ComfyUI、AI视频、PR/AE、商单实战、作品集与就业辅导</t>
  </si>
  <si>
    <t xml:space="preserve">官网可核验机构与AIGC课程存在；具体价格主要来自附件/聚合页</t>
  </si>
  <si>
    <t xml:space="preserve">可预约试听；先要完整价目表、课程版本号和本班教师姓名</t>
  </si>
  <si>
    <t xml:space="preserve">不同班型和报价差异大；算力、住宿、软件会员可能另付费；就业口径需核验</t>
  </si>
  <si>
    <t xml:space="preserve">400-6615-001；400-6263-721；010-53237025</t>
  </si>
  <si>
    <t xml:space="preserve">https://www.cgpower.com.cn/</t>
  </si>
  <si>
    <t xml:space="preserve">北京科学技术研究院·2026科学传播培训班（含AIGC短片）</t>
  </si>
  <si>
    <t xml:space="preserve">报名期/资格受限</t>
  </si>
  <si>
    <t xml:space="preserve">科研机构公益培训</t>
  </si>
  <si>
    <t xml:space="preserve">北京市北科大厦</t>
  </si>
  <si>
    <t xml:space="preserve">2026-09-16至09-18，3天</t>
  </si>
  <si>
    <t xml:space="preserve">免费（按通知），需单位推荐/审核</t>
  </si>
  <si>
    <t xml:space="preserve">科学传播、AIGC短片小组项目；不是漫剧职业班，但适合符合资格的低成本实操</t>
  </si>
  <si>
    <t xml:space="preserve">机构活动信息可核验，招生对象限制明确</t>
  </si>
  <si>
    <t xml:space="preserve">符合京津冀科研/科普/媒体岗位资格再报名；不适合普通个人跑现场</t>
  </si>
  <si>
    <t xml:space="preserve">限审核报名</t>
  </si>
  <si>
    <t xml:space="preserve">资格限制较严；内容目标是科学传播，不是商业漫剧</t>
  </si>
  <si>
    <t xml:space="preserve">010-68093934；15810531245；wangfan@bjast.ac.cn</t>
  </si>
  <si>
    <t xml:space="preserve">https://kandian.sina.cn/article_1893892941_70e2834d020022ya8.html?from=society</t>
  </si>
  <si>
    <t xml:space="preserve">机构活动转载</t>
  </si>
  <si>
    <t xml:space="preserve">北京博取教育·AIGC数字运营实训</t>
  </si>
  <si>
    <t xml:space="preserve">北京市朝阳区E9区创新工场1号楼5层</t>
  </si>
  <si>
    <t xml:space="preserve">2.5个月，全日制线下</t>
  </si>
  <si>
    <t xml:space="preserve">23800元</t>
  </si>
  <si>
    <t xml:space="preserve">AI内容策划、数字人直播、短视频自动化、工作流和项目作品集；偏运营就业，不是纯漫剧</t>
  </si>
  <si>
    <t xml:space="preserve">机构官网价格、周期、地址和课程结果公开，信息透明度较好</t>
  </si>
  <si>
    <t xml:space="preserve">可预约体验课；适合考察职业化实训管理，不是纯漫剧首选</t>
  </si>
  <si>
    <t xml:space="preserve">价格高、方向偏数字运营；需看作品集质量、就业数据口径和退费规则</t>
  </si>
  <si>
    <t xml:space="preserve">官网预约体验课/课程顾问</t>
  </si>
  <si>
    <t xml:space="preserve">https://www.boqujiaoyu.com/training</t>
  </si>
  <si>
    <t xml:space="preserve">机构官网</t>
  </si>
  <si>
    <t xml:space="preserve">中国传媒大学·AI职场新质能力培训</t>
  </si>
  <si>
    <t xml:space="preserve">待确认开班日期</t>
  </si>
  <si>
    <t xml:space="preserve">中国传媒大学23号楼</t>
  </si>
  <si>
    <t xml:space="preserve">4天，满15人开班；具体日期待通知</t>
  </si>
  <si>
    <t xml:space="preserve">3300元；符合条件3000元</t>
  </si>
  <si>
    <t xml:space="preserve">AI办公、知识库、智能体、视觉设计与AIGC短片；适合作为通识升级，不是漫剧专项</t>
  </si>
  <si>
    <t xml:space="preserve">中传官方项目，价格地点可信；当前日期不明确</t>
  </si>
  <si>
    <t xml:space="preserve">可预约咨询；仅适合想先补AI通识的人</t>
  </si>
  <si>
    <t xml:space="preserve">漫剧匹配度低，需确认是否有足够视频实操课时</t>
  </si>
  <si>
    <t xml:space="preserve">https://jxgz.cuc.edu.cn/2026/0812/c7772a273251/page.htm</t>
  </si>
  <si>
    <t xml:space="preserve">视丘道AI视频创造营</t>
  </si>
  <si>
    <t xml:space="preserve">待核验当期班</t>
  </si>
  <si>
    <t xml:space="preserve">企业短训</t>
  </si>
  <si>
    <t xml:space="preserve">附件称朝阳区高碑店西店记忆文创小镇</t>
  </si>
  <si>
    <t xml:space="preserve">2天1夜周末短训</t>
  </si>
  <si>
    <t xml:space="preserve">附件称1680元；团报1280-1380元</t>
  </si>
  <si>
    <t xml:space="preserve">脚本到成品完成1条AI视频，适合低成本体验；不提供长期就业训练</t>
  </si>
  <si>
    <t xml:space="preserve">目前主要来自附件，未找到稳定公开招生页</t>
  </si>
  <si>
    <t xml:space="preserve">如果能拿到当期通知，可作为低成本试课；先视频看场地和往期作品</t>
  </si>
  <si>
    <t xml:space="preserve">需确认主体、当期导师、是否真的全程动手、算力是否另收费</t>
  </si>
  <si>
    <t xml:space="preserve">公众号“视丘道”（以当期通知为准）</t>
  </si>
  <si>
    <t xml:space="preserve"/>
  </si>
  <si>
    <t xml:space="preserve">附件线索</t>
  </si>
  <si>
    <t xml:space="preserve">影视圈×大鹿角·6天AI剧集实战营</t>
  </si>
  <si>
    <t xml:space="preserve">待核验新班</t>
  </si>
  <si>
    <t xml:space="preserve">垂直短训</t>
  </si>
  <si>
    <t xml:space="preserve">附件称朝阳区酒仙桥珺塘科创产业园</t>
  </si>
  <si>
    <t xml:space="preserve">6天沉浸式线下</t>
  </si>
  <si>
    <t xml:space="preserve">附件称12800元</t>
  </si>
  <si>
    <t xml:space="preserve">剧本、分镜、AI视频、剪辑全流程，声称产出2部完整短片；与漫剧目标高度匹配</t>
  </si>
  <si>
    <t xml:space="preserve">主要来自附件，未找到可稳定核验的当前官方招生页</t>
  </si>
  <si>
    <t xml:space="preserve">只有拿到当期正式简章、导师确认和合同后才值得去试听</t>
  </si>
  <si>
    <t xml:space="preserve">单日成本高；导师、2部成片定义、版权归属和退费规则需书面确认</t>
  </si>
  <si>
    <t xml:space="preserve">公众号“影视圈”（以当期通知为准）</t>
  </si>
  <si>
    <t xml:space="preserve">莫瑶·AI电商视频绘画/AI视频拍摄剪辑</t>
  </si>
  <si>
    <t xml:space="preserve">聚合平台显示招生</t>
  </si>
  <si>
    <t xml:space="preserve">个人/小型机构</t>
  </si>
  <si>
    <t xml:space="preserve">北京经开区经海四路天道联合大厦（聚合页）</t>
  </si>
  <si>
    <t xml:space="preserve">7天3980元 / 5周8800元（聚合页）</t>
  </si>
  <si>
    <t xml:space="preserve">3980元 / 8800元</t>
  </si>
  <si>
    <t xml:space="preserve">视频绘画、拍摄剪辑，适合小班试学；漫剧专项深度需确认</t>
  </si>
  <si>
    <t xml:space="preserve">信息来自教育聚合平台，非主办方官网</t>
  </si>
  <si>
    <t xml:space="preserve">可先约试听，不建议仅凭平台介绍直接付款</t>
  </si>
  <si>
    <t xml:space="preserve">核验营业主体、授课人履历、班级人数、退款与发票；聚合页可能滞后</t>
  </si>
  <si>
    <t xml:space="preserve">通过教育宝页面咨询</t>
  </si>
  <si>
    <t xml:space="preserve">https://bj.jiaoyubao.cn/ban/aimjpx/</t>
  </si>
  <si>
    <t xml:space="preserve">聚合平台</t>
  </si>
  <si>
    <t xml:space="preserve">工信部工业文化发展中心·尚工行动·AI真人漫剧高研班</t>
  </si>
  <si>
    <t xml:space="preserve">待官方核验</t>
  </si>
  <si>
    <t xml:space="preserve">附件称部委体系项目</t>
  </si>
  <si>
    <t xml:space="preserve">附件称北京主授课地+延庆采风</t>
  </si>
  <si>
    <t xml:space="preserve">附件称3天授课+2天采风</t>
  </si>
  <si>
    <t xml:space="preserve">AIGC工具、素材、剪辑配音、平台合规；若官方项目真实则资源价值较高</t>
  </si>
  <si>
    <t xml:space="preserve">当前未找到可对应的官方招生通知，仅有附件描述</t>
  </si>
  <si>
    <t xml:space="preserve">暂不直接去；先在主办单位官网核验项目名称、承办方和收款主体</t>
  </si>
  <si>
    <t xml:space="preserve">暂不建议</t>
  </si>
  <si>
    <t xml:space="preserve">“工信部体系证书”不等于职业资格；必须核对发证单位、证书查询和官方收款</t>
  </si>
  <si>
    <t xml:space="preserve">以工信部工业文化发展中心正式通知为准</t>
  </si>
  <si>
    <t xml:space="preserve">附件线索/待核验</t>
  </si>
  <si>
    <t xml:space="preserve">麦可里里·1个月AI漫剧全流程线下课</t>
  </si>
  <si>
    <t xml:space="preserve">小型培训机构</t>
  </si>
  <si>
    <t xml:space="preserve">北京，详细地址未公开</t>
  </si>
  <si>
    <t xml:space="preserve">1个月，30人班（聚合页）</t>
  </si>
  <si>
    <t xml:space="preserve">12999元（聚合页）</t>
  </si>
  <si>
    <t xml:space="preserve">声称从0到1全流程、8名助教；匹配度高但缺少可验证交付证据</t>
  </si>
  <si>
    <t xml:space="preserve">聚合平台信息，详细地址、主体、合同与作品样本不完整</t>
  </si>
  <si>
    <t xml:space="preserve">先线上面谈并索取营业执照、详细地址和未剪辑学员作品，再决定是否去</t>
  </si>
  <si>
    <t xml:space="preserve">地址不透明、人数较多；助教比例、原创作品与退款规则需核验</t>
  </si>
  <si>
    <t xml:space="preserve">通过91好学校页面咨询</t>
  </si>
  <si>
    <t xml:space="preserve">https://www.91goodschool.com/course/17108-251482.html</t>
  </si>
  <si>
    <t xml:space="preserve">云枢AI实训教育（云枢智聘）</t>
  </si>
  <si>
    <t xml:space="preserve">宣传显示招生，需核验</t>
  </si>
  <si>
    <t xml:space="preserve">AIGC转行实训</t>
  </si>
  <si>
    <t xml:space="preserve">附件称通州区嘉创路10号枢密院14号楼</t>
  </si>
  <si>
    <t xml:space="preserve">附件称45天全日制，另有晚班/周末班</t>
  </si>
  <si>
    <t xml:space="preserve">万元级，未公开准确价</t>
  </si>
  <si>
    <t xml:space="preserve">AIGC应用、大模型、商单池、作品与就业内推；更偏综合转行</t>
  </si>
  <si>
    <t xml:space="preserve">主要为机构宣传稿和附件，独立证据不足</t>
  </si>
  <si>
    <t xml:space="preserve">可预约试听，但先确认公司主体、实际教室和当期师资</t>
  </si>
  <si>
    <t xml:space="preserve">“真实项目/就业内推”需看合同和可核验证据；总费用不透明</t>
  </si>
  <si>
    <t xml:space="preserve">公众号“云枢智聘”</t>
  </si>
  <si>
    <t xml:space="preserve">https://www.sohu.com/a/1054596638_122934688</t>
  </si>
  <si>
    <t xml:space="preserve">机构宣传转载+附件</t>
  </si>
  <si>
    <t xml:space="preserve">奇点AI漫剧工坊</t>
  </si>
  <si>
    <t xml:space="preserve">待核验</t>
  </si>
  <si>
    <t xml:space="preserve">技术工坊</t>
  </si>
  <si>
    <t xml:space="preserve">附件称北京朝阳区，详细地址未公开</t>
  </si>
  <si>
    <t xml:space="preserve">附件称5天短训</t>
  </si>
  <si>
    <t xml:space="preserve">自研分镜、角色一致性与技术工具链，理论上适合有基础创作者</t>
  </si>
  <si>
    <t xml:space="preserve">公开资料很少，且需避免与同名外地机构混淆</t>
  </si>
  <si>
    <t xml:space="preserve">暂不专程去；先索取主体、地址、课程录像与往期完整作品</t>
  </si>
  <si>
    <t xml:space="preserve">同名机构混淆、地址/价格/师资不透明</t>
  </si>
  <si>
    <t xml:space="preserve">私信官方账号（需核验主体）</t>
  </si>
  <si>
    <t xml:space="preserve">文泓兴AIGC·6周实战班</t>
  </si>
  <si>
    <t xml:space="preserve">商业实战机构</t>
  </si>
  <si>
    <t xml:space="preserve">附件仅称北京线下基地，预约后发地址</t>
  </si>
  <si>
    <t xml:space="preserve">6周脱产/周末班</t>
  </si>
  <si>
    <t xml:space="preserve">脚本到成片、项目制、4对1辅导、商单对接；宣传匹配度较高</t>
  </si>
  <si>
    <t xml:space="preserve">公开信息少，地址、价格、师资与项目证据不足</t>
  </si>
  <si>
    <t xml:space="preserve">不建议在地址和合同未透明前跑线下或交定金</t>
  </si>
  <si>
    <t xml:space="preserve">预约后才发地址属于高风险信号；先核主体、发票、退费、商单真实性</t>
  </si>
  <si>
    <t xml:space="preserve">公众号“文泓兴AIGC”</t>
  </si>
  <si>
    <t xml:space="preserve">反转教育·7天AIGC线下实战集训营</t>
  </si>
  <si>
    <t xml:space="preserve">AIGC集训机构</t>
  </si>
  <si>
    <t xml:space="preserve">附件称朝阳/亦庄校区，详细地址待确认</t>
  </si>
  <si>
    <t xml:space="preserve">7天线下</t>
  </si>
  <si>
    <t xml:space="preserve">AI绘画、视频、音频、智能体与案例拆解；适合工具入门</t>
  </si>
  <si>
    <t xml:space="preserve">主要来自附件，缺少可核验招生页</t>
  </si>
  <si>
    <t xml:space="preserve">拿到详细课表、校址和试听安排后再考虑</t>
  </si>
  <si>
    <t xml:space="preserve">课程过宽可能每项都浅；价格、主体、导师和算力成本不透明</t>
  </si>
  <si>
    <t xml:space="preserve">公众号“反转教育”</t>
  </si>
  <si>
    <t xml:space="preserve">司晨视觉·AI漫剧实训</t>
  </si>
  <si>
    <t xml:space="preserve">待核验北京点</t>
  </si>
  <si>
    <t xml:space="preserve">影视实训机构</t>
  </si>
  <si>
    <t xml:space="preserve">主体注册地杭州；附件称北京有实训点但未核实</t>
  </si>
  <si>
    <t xml:space="preserve">4-6周小班（附件）</t>
  </si>
  <si>
    <t xml:space="preserve">偏影视/UE5与AI漫剧商业化、小班设备实训</t>
  </si>
  <si>
    <t xml:space="preserve">北京教学点缺乏可靠公开证据</t>
  </si>
  <si>
    <t xml:space="preserve">不要先跑北京；先确认北京合同主体、固定教室和当期开班证明</t>
  </si>
  <si>
    <t xml:space="preserve">异地主体与北京教学点不清；师资、价格、收款主体需核验</t>
  </si>
  <si>
    <t xml:space="preserve">官网/抖音“司晨视觉”私信</t>
  </si>
  <si>
    <t xml:space="preserve">火锐FREE AIGC沙龙</t>
  </si>
  <si>
    <t xml:space="preserve">不定期</t>
  </si>
  <si>
    <t xml:space="preserve">行业沙龙</t>
  </si>
  <si>
    <t xml:space="preserve">附件称海淀致真大厦，不定期</t>
  </si>
  <si>
    <t xml:space="preserve">单日沙龙/2天主题课</t>
  </si>
  <si>
    <t xml:space="preserve">附件称数百元起</t>
  </si>
  <si>
    <t xml:space="preserve">设计师向案例分享、人脉和轻量实操；不是完整漫剧训练</t>
  </si>
  <si>
    <t xml:space="preserve">主要来自附件，活动需逐场核验</t>
  </si>
  <si>
    <t xml:space="preserve">有明确活动页时可去听一场，不适合替代系统课</t>
  </si>
  <si>
    <t xml:space="preserve">按活动报名</t>
  </si>
  <si>
    <t xml:space="preserve">活动质量取决于当期嘉宾；需核对是否含动手实操</t>
  </si>
  <si>
    <t xml:space="preserve">站酷活动页/公众号“火锐FREE”</t>
  </si>
  <si>
    <t xml:space="preserve">王氏教育（北京）·AIGC/AI漫剧模块</t>
  </si>
  <si>
    <t xml:space="preserve">待核验北京班</t>
  </si>
  <si>
    <t xml:space="preserve">连锁美术培训</t>
  </si>
  <si>
    <t xml:space="preserve">附件仅写北京，具体校区待确认</t>
  </si>
  <si>
    <t xml:space="preserve">按班型</t>
  </si>
  <si>
    <t xml:space="preserve">偏原画、角色设计与AIGC，适合视觉角色方向补课</t>
  </si>
  <si>
    <t xml:space="preserve">无可对应的当前北京漫剧专项公开简章</t>
  </si>
  <si>
    <t xml:space="preserve">只在拿到北京当期课表和试听课后考虑</t>
  </si>
  <si>
    <t xml:space="preserve">可能只是大课程中的模块，不等于完整漫剧生产课</t>
  </si>
  <si>
    <t xml:space="preserve">官网/校区咨询</t>
  </si>
  <si>
    <t xml:space="preserve">天琥教育（北京）·AI绘画/AI漫剧短视频模块</t>
  </si>
  <si>
    <t xml:space="preserve">连锁设计培训</t>
  </si>
  <si>
    <t xml:space="preserve">北京具体校区待确认</t>
  </si>
  <si>
    <t xml:space="preserve">小班面授，具体排期待确认</t>
  </si>
  <si>
    <t xml:space="preserve">偏AI绘画与短视频模块，适合设计师补充工具</t>
  </si>
  <si>
    <t xml:space="preserve">未找到当前北京漫剧专项正式简章</t>
  </si>
  <si>
    <t xml:space="preserve">只作为工具类试听备选，不建议优先跑</t>
  </si>
  <si>
    <t xml:space="preserve">需确认是不是纯线上/录播混合、漫剧课时占比和总费用</t>
  </si>
  <si>
    <t xml:space="preserve">上元教育（北京）·AI绘图/动态漫/AE混合班</t>
  </si>
  <si>
    <t xml:space="preserve">连锁综合培训</t>
  </si>
  <si>
    <t xml:space="preserve">线上+线下混合，具体排期待确认</t>
  </si>
  <si>
    <t xml:space="preserve">AI绘图、动态漫、AE特效，方向较分散</t>
  </si>
  <si>
    <t xml:space="preserve">不建议优先；有明确北京试听和细化课表再看</t>
  </si>
  <si>
    <t xml:space="preserve">可能以软件模块拼接为主，漫剧项目交付不明确</t>
  </si>
  <si>
    <t xml:space="preserve">优先级</t>
  </si>
  <si>
    <t xml:space="preserve">课程/机构</t>
  </si>
  <si>
    <t xml:space="preserve">为什么值得去</t>
  </si>
  <si>
    <t xml:space="preserve">地点</t>
  </si>
  <si>
    <t xml:space="preserve">建议动作</t>
  </si>
  <si>
    <t xml:space="preserve">现场必问</t>
  </si>
  <si>
    <t xml:space="preserve">时间/费用</t>
  </si>
  <si>
    <t xml:space="preserve">联系方式</t>
  </si>
  <si>
    <t xml:space="preserve">来源链接</t>
  </si>
  <si>
    <t xml:space="preserve">结论</t>
  </si>
  <si>
    <t xml:space="preserve">1</t>
  </si>
  <si>
    <t xml:space="preserve">中国传媒大学·AIGC视觉影像通关课（短剧阶段）</t>
  </si>
  <si>
    <t xml:space="preserve">当前可报名、纯短剧匹配高、官方价格/地址明确</t>
  </si>
  <si>
    <t xml:space="preserve">中传23号楼北侧209室</t>
  </si>
  <si>
    <t xml:space="preserve">提前电话预约到校</t>
  </si>
  <si>
    <t xml:space="preserve">只报短剧阶段可否拿证；课时/导师；每人最终产出；算力和软件额外费用</t>
  </si>
  <si>
    <t xml:space="preserve">9/9-10/12；6450元/阶段</t>
  </si>
  <si>
    <t xml:space="preserve">13811279121；010-65779538</t>
  </si>
  <si>
    <t/>
    <r>
      <rPr>
        <u val="single"/>
        <color theme="10"/>
      </rPr>
      <t>https://jxgz.cuc.edu.cn/2026/0604/c7772a271339/page.htm</t>
    </r>
  </si>
  <si>
    <t xml:space="preserve">优先去</t>
  </si>
  <si>
    <t xml:space="preserve">2</t>
  </si>
  <si>
    <t xml:space="preserve">中国传媒大学·AI超级创作者计划</t>
  </si>
  <si>
    <t xml:space="preserve">9-12月有明确班期；综合全流程与设备条件强</t>
  </si>
  <si>
    <t xml:space="preserve">中传23号楼AIGC实验室</t>
  </si>
  <si>
    <t xml:space="preserve">提前1-2天预约实地考察</t>
  </si>
  <si>
    <t xml:space="preserve">往届完整作品；班级人数；1v1实际频次；复训安排；退费节点</t>
  </si>
  <si>
    <t xml:space="preserve">10天；9600元/优惠9000元</t>
  </si>
  <si>
    <t xml:space="preserve">13161816080；010-65779089</t>
  </si>
  <si>
    <t/>
    <r>
      <rPr>
        <u val="single"/>
        <color theme="10"/>
      </rPr>
      <t>https://jxjy.cuc.edu.cn/2026/0717/c13404a272813/page.htm</t>
    </r>
  </si>
  <si>
    <t xml:space="preserve">3</t>
  </si>
  <si>
    <t xml:space="preserve">国家开放大学培训中心×AI未来电影研究院</t>
  </si>
  <si>
    <t xml:space="preserve">7天/1个月两档，作品与商业链路完整</t>
  </si>
  <si>
    <t xml:space="preserve">北京亦庄实训基地（门牌报名后通知）</t>
  </si>
  <si>
    <t xml:space="preserve">先电话索取地址并预约试听</t>
  </si>
  <si>
    <t xml:space="preserve">最近班期、导师、班级规模、真实项目、证书用途、合同与退款</t>
  </si>
  <si>
    <t xml:space="preserve">6800元/7天；12800元/1个月</t>
  </si>
  <si>
    <t xml:space="preserve">010-66490280；17310161594</t>
  </si>
  <si>
    <t xml:space="preserve">https://www.xiangxue8.com/cms/zytz/166865.htm</t>
  </si>
  <si>
    <t xml:space="preserve">优先核验后去</t>
  </si>
  <si>
    <t xml:space="preserve">4</t>
  </si>
  <si>
    <t xml:space="preserve">宋庄AI短剧OPC社区</t>
  </si>
  <si>
    <t xml:space="preserve">近期已有实训和订单协作报道，产业调研价值高</t>
  </si>
  <si>
    <t xml:space="preserve">通州宋庄新视听产业廊道/艺创云阶一带</t>
  </si>
  <si>
    <t xml:space="preserve">约园区/主办方访谈，不要直接闯园区</t>
  </si>
  <si>
    <t xml:space="preserve">订单来源、分成、版权、免费名额条件、留用比例、在训学员反馈</t>
  </si>
  <si>
    <t xml:space="preserve">排期/费用待官方通知</t>
  </si>
  <si>
    <t xml:space="preserve">联系园区/漫彩流光/软通教育</t>
  </si>
  <si>
    <t xml:space="preserve">https://www.sohu.com/a/1066753443_121106842</t>
  </si>
  <si>
    <t xml:space="preserve">值得约访</t>
  </si>
  <si>
    <t xml:space="preserve">5</t>
  </si>
  <si>
    <t xml:space="preserve">中影年年·启遥星辰（晓达星序）</t>
  </si>
  <si>
    <t xml:space="preserve">基地/项目制与UE5协同值得看，但招生证据非官方</t>
  </si>
  <si>
    <t xml:space="preserve">昌平北七家镇年年新视听产业园7-8楼</t>
  </si>
  <si>
    <t xml:space="preserve">通过平台建联后预约基地参观</t>
  </si>
  <si>
    <t xml:space="preserve">收款主体、5个月总价、就业协议、退费触发条件、在读生作品与去向</t>
  </si>
  <si>
    <t xml:space="preserve">约5个月；价格未公示</t>
  </si>
  <si>
    <t xml:space="preserve">400-660-3310</t>
  </si>
  <si>
    <t xml:space="preserve">https://www.91goodschool.com/news/16853-10339038.html</t>
  </si>
  <si>
    <t xml:space="preserve">可去，先约</t>
  </si>
  <si>
    <t xml:space="preserve">6</t>
  </si>
  <si>
    <t xml:space="preserve">火星时代教育</t>
  </si>
  <si>
    <t xml:space="preserve">实体校区明确、长期CG教育基础，可做民营机构基准样本</t>
  </si>
  <si>
    <t xml:space="preserve">海淀区杏石口路81号火星时代大厦</t>
  </si>
  <si>
    <t xml:space="preserve">预约试听和参观当期AIGC班</t>
  </si>
  <si>
    <t xml:space="preserve">本班教师姓名与履历、最新完整作品、总费用、算力、就业数据口径、退费</t>
  </si>
  <si>
    <t xml:space="preserve">约2-3个月；需询价</t>
  </si>
  <si>
    <t xml:space="preserve">400-814-8888</t>
  </si>
  <si>
    <t xml:space="preserve">https://www.hxsd.com/content/59420/</t>
  </si>
  <si>
    <t xml:space="preserve">可预约试听</t>
  </si>
  <si>
    <t xml:space="preserve">7</t>
  </si>
  <si>
    <t xml:space="preserve">完美动力教育</t>
  </si>
  <si>
    <t xml:space="preserve">课程链路较全，可用于对比职业班的设备与项目管理</t>
  </si>
  <si>
    <t xml:space="preserve">附件称朝阳双桥附近；以电话确认为准</t>
  </si>
  <si>
    <t xml:space="preserve">预约试听，要求发正式定位</t>
  </si>
  <si>
    <t xml:space="preserve">当期校址、完整价目表、软件算力/住宿附加费、作品原创性、就业承诺</t>
  </si>
  <si>
    <t xml:space="preserve">7200-23800元（附件参考）</t>
  </si>
  <si>
    <t xml:space="preserve">400-6615-001；010-53237025</t>
  </si>
  <si>
    <t xml:space="preserve">https://www.cgpower.com.cn/</t>
  </si>
  <si>
    <t xml:space="preserve">8</t>
  </si>
  <si>
    <t xml:space="preserve">火星人教育·AI漫剧导演班</t>
  </si>
  <si>
    <t xml:space="preserve">纯漫剧方向高度匹配，适合做专项机构样本</t>
  </si>
  <si>
    <t xml:space="preserve">官网出现多个北京地址</t>
  </si>
  <si>
    <t xml:space="preserve">先电话确认当天实际校址，再预约试听</t>
  </si>
  <si>
    <t xml:space="preserve">为什么官网有多个地址；真实教室；班级人数；费用；学员完整成片；重修/内推条款</t>
  </si>
  <si>
    <t xml:space="preserve">4周等班型；价格未公示</t>
  </si>
  <si>
    <t xml:space="preserve">010-65918670；18611843799</t>
  </si>
  <si>
    <t xml:space="preserve">https://www.2ds.cn/%E7%81%AB%E6%98%9F%E4%BA%BA%E6%95%99%E8%82%B2%E3%80%8Cai-%E6%BC%AB%E5%89%A7%E5%AF%BC%E6%BC%94%E7%8F%AD%E3%80%8D%E6%8B%9B%E7%94%9F%E7%AE%80%E7%AB%A0/</t>
  </si>
  <si>
    <t xml:space="preserve">先核地址再去</t>
  </si>
  <si>
    <t xml:space="preserve">9</t>
  </si>
  <si>
    <t xml:space="preserve">北京博取教育·AIGC数字运营实训</t>
  </si>
  <si>
    <t xml:space="preserve">官网价格/周期/地址公开，适合比较职业化实训管理</t>
  </si>
  <si>
    <t xml:space="preserve">朝阳区E9区创新工场1号楼5层</t>
  </si>
  <si>
    <t xml:space="preserve">预约体验课</t>
  </si>
  <si>
    <t xml:space="preserve">是否有漫剧项目；作品集样例；就业数据；每日实操时长；退款</t>
  </si>
  <si>
    <t xml:space="preserve">2.5个月；23800元</t>
  </si>
  <si>
    <t xml:space="preserve">官网预约</t>
  </si>
  <si>
    <t xml:space="preserve">https://www.boqujiaoyu.com/training</t>
  </si>
  <si>
    <t xml:space="preserve">可直接预约</t>
  </si>
  <si>
    <t xml:space="preserve">10</t>
  </si>
  <si>
    <t xml:space="preserve">清华美院·AI漫剧视觉创作研修班</t>
  </si>
  <si>
    <t xml:space="preserve">艺术/视觉方向强，但本期接近尾声且混合授课</t>
  </si>
  <si>
    <t xml:space="preserve">海淀区清华园及腾讯会议</t>
  </si>
  <si>
    <t xml:space="preserve">只做预约咨询，不临时到校</t>
  </si>
  <si>
    <t xml:space="preserve">剩余线下课、能否插班、下期计划、线下/线上比例、作品要求</t>
  </si>
  <si>
    <t xml:space="preserve">36学时；6000元</t>
  </si>
  <si>
    <t xml:space="preserve">13699186014；13718294250</t>
  </si>
  <si>
    <t xml:space="preserve">https://www.ad.tsinghua.edu.cn/info/1577/32528.htm</t>
  </si>
  <si>
    <t xml:space="preserve">先确认班期</t>
  </si>
  <si>
    <t xml:space="preserve">维度</t>
  </si>
  <si>
    <t xml:space="preserve">满分</t>
  </si>
  <si>
    <t xml:space="preserve">高分标准</t>
  </si>
  <si>
    <t xml:space="preserve">降分项/说明</t>
  </si>
  <si>
    <t xml:space="preserve">主办/信息可信度</t>
  </si>
  <si>
    <t xml:space="preserve">20</t>
  </si>
  <si>
    <t xml:space="preserve">高校/政府/行业协会官网；班期、价格、地址、收款主体齐全</t>
  </si>
  <si>
    <t xml:space="preserve">仅宣传稿/聚合页；项目主体或收款主体不清；同一机构信息冲突</t>
  </si>
  <si>
    <t xml:space="preserve">漫剧/AI视频匹配度</t>
  </si>
  <si>
    <t xml:space="preserve">25</t>
  </si>
  <si>
    <t xml:space="preserve">直接覆盖剧本、分镜、角色资产、一致性、AI视频、声音、剪辑</t>
  </si>
  <si>
    <t xml:space="preserve">只有AI通识、办公、绘画或运营模块；漫剧只是宣传关键词</t>
  </si>
  <si>
    <t xml:space="preserve">实操/作品产出</t>
  </si>
  <si>
    <t xml:space="preserve">明确每人/小组完成完整成片或作品集，有点评、迭代和交付标准</t>
  </si>
  <si>
    <t xml:space="preserve">只演示工具；作品定义模糊；商业项目/接单只作口头承诺</t>
  </si>
  <si>
    <t xml:space="preserve">价格透明/性价比</t>
  </si>
  <si>
    <t xml:space="preserve">15</t>
  </si>
  <si>
    <t xml:space="preserve">公开总价、包含项、退改；单位时间/成果合理；公益课可加分</t>
  </si>
  <si>
    <t xml:space="preserve">需私聊报价；算力/软件/住宿另收且不透明；高价短训交付模糊</t>
  </si>
  <si>
    <t xml:space="preserve">线下可验证性</t>
  </si>
  <si>
    <t xml:space="preserve">10</t>
  </si>
  <si>
    <t xml:space="preserve">固定北京地址、可预约看场地/试听/看班；官方给出到访方式</t>
  </si>
  <si>
    <t xml:space="preserve">预约后才给地址；官网多地址冲突；北京点无法核验</t>
  </si>
  <si>
    <t xml:space="preserve">当前招生明确度</t>
  </si>
  <si>
    <t xml:space="preserve">当前或未来班期、截止日和报名方式明确</t>
  </si>
  <si>
    <t xml:space="preserve">只有往期；“常态化”但无日期；仅泛化招生宣传</t>
  </si>
  <si>
    <t xml:space="preserve">评级</t>
  </si>
  <si>
    <t xml:space="preserve">100</t>
  </si>
  <si>
    <t xml:space="preserve">S≥90，A≥80，B≥70，C≥60，D&lt;60</t>
  </si>
  <si>
    <t xml:space="preserve">评级是调研优先级，不是教学效果保证</t>
  </si>
  <si>
    <t xml:space="preserve">线下建议</t>
  </si>
  <si>
    <t xml:space="preserve">独立判断</t>
  </si>
  <si>
    <t xml:space="preserve">优先去/可预约/先电话确认/暂不建议；同时看质量与当前可到访性</t>
  </si>
  <si>
    <t xml:space="preserve">已结束的高分课也可能只建议先打电话；能到店的低分课也不等于值得报名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</si>
</sst>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"/>
    <numFmt numFmtId="165" formatCode="@"/>
    <numFmt numFmtId="166" formatCode="@"/>
    <numFmt numFmtId="167" formatCode="@"/>
  </numFmts>
  <fonts count="5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b val="true"/>
      <sz val="10"/>
      <color rgb="FF173F5F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</fonts>
  <fills count="1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73F5F"/>
        <bgColor/>
      </patternFill>
    </fill>
    <fill>
      <patternFill patternType="solid">
        <fgColor rgb="FFEAF4F8"/>
        <bgColor/>
      </patternFill>
    </fill>
    <fill>
      <patternFill patternType="solid">
        <fgColor rgb="FFFFF1E6"/>
        <bgColor/>
      </patternFill>
    </fill>
    <fill>
      <patternFill patternType="solid">
        <fgColor rgb="FF173F5F"/>
        <bgColor/>
      </patternFill>
    </fill>
    <fill>
      <patternFill patternType="solid">
        <fgColor rgb="FFE8F5E9"/>
        <bgColor/>
      </patternFill>
    </fill>
    <fill>
      <patternFill patternType="solid">
        <fgColor rgb="FFEEF6FF"/>
        <bgColor/>
      </patternFill>
    </fill>
    <fill>
      <patternFill patternType="solid">
        <fgColor rgb="FFFFF8E1"/>
        <bgColor/>
      </patternFill>
    </fill>
    <fill>
      <patternFill patternType="solid">
        <fgColor rgb="FFF2F8FC"/>
        <bgColor/>
      </patternFill>
    </fill>
    <fill>
      <patternFill patternType="solid">
        <fgColor rgb="FF173F5F"/>
        <bgColor/>
      </patternFill>
    </fill>
    <fill>
      <patternFill patternType="solid">
        <fgColor rgb="FFE8F5E9"/>
        <bgColor/>
      </patternFill>
    </fill>
    <fill>
      <patternFill patternType="solid">
        <fgColor rgb="FFFFF8E1"/>
        <bgColor/>
      </patternFill>
    </fill>
    <fill>
      <patternFill patternType="solid">
        <fgColor rgb="FFF2F8FC"/>
        <bgColor/>
      </patternFill>
    </fill>
    <fill>
      <patternFill patternType="solid">
        <fgColor rgb="FF173F5F"/>
        <bgColor/>
      </patternFill>
    </fill>
    <fill>
      <patternFill patternType="solid">
        <fgColor rgb="FFEAF4F8"/>
        <bgColor/>
      </patternFill>
    </fill>
  </fills>
  <borders count="5">
    <border>
      <left/>
      <right/>
      <top/>
      <bottom/>
      <diagonal/>
    </border>
    <border>
      <left/>
      <right/>
      <top/>
      <bottom style="thin">
        <color rgb="FFD8DEE9"/>
      </bottom>
      <diagonal/>
    </border>
    <border>
      <left/>
      <right/>
      <top/>
      <bottom style="thin">
        <color rgb="FFD8DEE9"/>
      </bottom>
      <diagonal/>
    </border>
    <border>
      <left/>
      <right/>
      <top/>
      <bottom style="thin">
        <color rgb="FFD8DEE9"/>
      </bottom>
      <diagonal/>
    </border>
    <border>
      <left/>
      <right/>
      <top/>
      <bottom style="thin">
        <color rgb="FFD8DEE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true" applyProtection="false" borderId="1" fillId="0" fontId="2" numFmtId="164" xfId="0">
      <alignment vertical="top" wrapText="true"/>
    </xf>
    <xf applyAlignment="true" applyBorder="false" applyFill="false" applyFont="true" applyNumberFormat="true" applyProtection="false" borderId="1" fillId="0" fontId="3" numFmtId="164" xfId="0">
      <alignment vertical="top" wrapText="true"/>
    </xf>
    <xf applyAlignment="true" applyBorder="false" applyFill="true" applyFont="true" applyNumberFormat="true" applyProtection="false" borderId="1" fillId="3" fontId="2" numFmtId="164" xfId="0">
      <alignment vertical="top" wrapText="true"/>
    </xf>
    <xf applyAlignment="true" applyBorder="false" applyFill="true" applyFont="true" applyNumberFormat="true" applyProtection="false" borderId="1" fillId="3" fontId="3" numFmtId="164" xfId="0">
      <alignment vertical="top" wrapText="true"/>
    </xf>
    <xf applyAlignment="true" applyBorder="false" applyFill="true" applyFont="true" applyNumberFormat="true" applyProtection="false" borderId="1" fillId="4" fontId="2" numFmtId="164" xfId="0">
      <alignment vertical="top" wrapText="true"/>
    </xf>
    <xf applyAlignment="true" applyBorder="false" applyFill="true" applyFont="true" applyNumberFormat="true" applyProtection="false" borderId="1" fillId="4" fontId="3" numFmtId="164" xfId="0">
      <alignment vertical="top" wrapText="true"/>
    </xf>
    <xf applyAlignment="true" applyBorder="false" applyFill="true" applyFont="true" applyNumberFormat="false" applyProtection="false" borderId="2" fillId="5" fontId="1" numFmtId="0" xfId="0">
      <alignment horizontal="center" vertical="center" wrapText="true"/>
    </xf>
    <xf applyAlignment="true" applyBorder="false" applyFill="true" applyFont="true" applyNumberFormat="false" applyProtection="false" borderId="2" fillId="6" fontId="4" numFmtId="0" xfId="0">
      <alignment horizontal="center" vertical="top" wrapText="true"/>
    </xf>
    <xf applyAlignment="true" applyBorder="false" applyFill="true" applyFont="true" applyNumberFormat="true" applyProtection="false" borderId="2" fillId="6" fontId="3" numFmtId="165" xfId="0">
      <alignment vertical="top" wrapText="true"/>
    </xf>
    <xf applyAlignment="true" applyBorder="false" applyFill="true" applyFont="true" applyNumberFormat="true" applyProtection="false" borderId="2" fillId="6" fontId="3" numFmtId="165" xfId="0">
      <alignment horizontal="center" vertical="top" wrapText="true"/>
    </xf>
    <xf applyAlignment="true" applyBorder="false" applyFill="true" applyFont="true" applyNumberFormat="false" applyProtection="false" borderId="2" fillId="7" fontId="3" numFmtId="0" xfId="0">
      <alignment horizontal="center" vertical="top" wrapText="true"/>
    </xf>
    <xf applyAlignment="true" applyBorder="false" applyFill="true" applyFont="true" applyNumberFormat="true" applyProtection="false" borderId="2" fillId="6" fontId="4" numFmtId="165" xfId="0">
      <alignment horizontal="center" vertical="top" wrapText="true"/>
    </xf>
    <xf applyAlignment="true" applyBorder="false" applyFill="true" applyFont="true" applyNumberFormat="true" applyProtection="false" borderId="2" fillId="8" fontId="3" numFmtId="165" xfId="0">
      <alignment vertical="top" wrapText="true"/>
    </xf>
    <xf applyAlignment="true" applyBorder="false" applyFill="false" applyFont="true" applyNumberFormat="false" applyProtection="false" borderId="2" fillId="0" fontId="4" numFmtId="0" xfId="0">
      <alignment horizontal="center" vertical="top" wrapText="true"/>
    </xf>
    <xf applyAlignment="true" applyBorder="false" applyFill="false" applyFont="true" applyNumberFormat="true" applyProtection="false" borderId="2" fillId="0" fontId="3" numFmtId="165" xfId="0">
      <alignment vertical="top" wrapText="true"/>
    </xf>
    <xf applyAlignment="true" applyBorder="false" applyFill="false" applyFont="true" applyNumberFormat="true" applyProtection="false" borderId="2" fillId="0" fontId="3" numFmtId="165" xfId="0">
      <alignment horizontal="center" vertical="top" wrapText="true"/>
    </xf>
    <xf applyAlignment="true" applyBorder="false" applyFill="true" applyFont="true" applyNumberFormat="false" applyProtection="false" borderId="2" fillId="9" fontId="4" numFmtId="0" xfId="0">
      <alignment horizontal="center" vertical="top" wrapText="true"/>
    </xf>
    <xf applyAlignment="true" applyBorder="false" applyFill="true" applyFont="true" applyNumberFormat="true" applyProtection="false" borderId="2" fillId="9" fontId="3" numFmtId="165" xfId="0">
      <alignment vertical="top" wrapText="true"/>
    </xf>
    <xf applyAlignment="true" applyBorder="false" applyFill="true" applyFont="true" applyNumberFormat="true" applyProtection="false" borderId="2" fillId="9" fontId="3" numFmtId="165" xfId="0">
      <alignment horizontal="center" vertical="top" wrapText="true"/>
    </xf>
    <xf applyAlignment="true" applyBorder="false" applyFill="true" applyFont="true" applyNumberFormat="false" applyProtection="false" borderId="3" fillId="10" fontId="1" numFmtId="0" xfId="0">
      <alignment horizontal="center" vertical="center" wrapText="true"/>
    </xf>
    <xf applyAlignment="true" applyBorder="false" applyFill="true" applyFont="true" applyNumberFormat="true" applyProtection="false" borderId="3" fillId="11" fontId="4" numFmtId="166" xfId="0">
      <alignment horizontal="center" vertical="top" wrapText="true"/>
    </xf>
    <xf applyAlignment="true" applyBorder="false" applyFill="true" applyFont="true" applyNumberFormat="true" applyProtection="false" borderId="3" fillId="11" fontId="3" numFmtId="166" xfId="0">
      <alignment vertical="top" wrapText="true"/>
    </xf>
    <xf applyAlignment="true" applyBorder="false" applyFill="true" applyFont="true" applyNumberFormat="true" applyProtection="false" borderId="3" fillId="11" fontId="3" numFmtId="166" xfId="0">
      <alignment vertical="top" wrapText="true"/>
    </xf>
    <xf applyAlignment="true" applyBorder="false" applyFill="true" applyFont="true" applyNumberFormat="true" applyProtection="false" borderId="3" fillId="12" fontId="4" numFmtId="166" xfId="0">
      <alignment horizontal="center" vertical="top" wrapText="true"/>
    </xf>
    <xf applyAlignment="true" applyBorder="false" applyFill="true" applyFont="true" applyNumberFormat="true" applyProtection="false" borderId="3" fillId="12" fontId="3" numFmtId="166" xfId="0">
      <alignment vertical="top" wrapText="true"/>
    </xf>
    <xf applyAlignment="true" applyBorder="false" applyFill="true" applyFont="true" applyNumberFormat="true" applyProtection="false" borderId="3" fillId="13" fontId="4" numFmtId="166" xfId="0">
      <alignment horizontal="center" vertical="top" wrapText="true"/>
    </xf>
    <xf applyAlignment="true" applyBorder="false" applyFill="true" applyFont="true" applyNumberFormat="true" applyProtection="false" borderId="3" fillId="13" fontId="3" numFmtId="166" xfId="0">
      <alignment vertical="top" wrapText="true"/>
    </xf>
    <xf applyAlignment="true" applyBorder="false" applyFill="true" applyFont="true" applyNumberFormat="false" applyProtection="false" borderId="4" fillId="14" fontId="1" numFmtId="0" xfId="0">
      <alignment horizontal="center" vertical="center" wrapText="true"/>
    </xf>
    <xf applyAlignment="true" applyBorder="false" applyFill="true" applyFont="true" applyNumberFormat="true" applyProtection="false" borderId="4" fillId="15" fontId="2" numFmtId="167" xfId="0">
      <alignment vertical="top" wrapText="true"/>
    </xf>
    <xf applyAlignment="true" applyBorder="false" applyFill="true" applyFont="true" applyNumberFormat="true" applyProtection="false" borderId="4" fillId="15" fontId="3" numFmtId="167" xfId="0">
      <alignment vertical="top" wrapText="true"/>
    </xf>
    <xf applyAlignment="true" applyBorder="false" applyFill="false" applyFont="true" applyNumberFormat="true" applyProtection="false" borderId="4" fillId="0" fontId="2" numFmtId="167" xfId="0">
      <alignment vertical="top" wrapText="true"/>
    </xf>
    <xf applyAlignment="true" applyBorder="false" applyFill="false" applyFont="true" applyNumberFormat="true" applyProtection="false" borderId="4" fillId="0" fontId="3" numFmtId="167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https://jxgz.cuc.edu.cn/2026/0604/c7772a271339/page.htm" Type="http://schemas.openxmlformats.org/officeDocument/2006/relationships/hyperlink" TargetMode="External"></Relationship><Relationship Id="rId2" Target="https://jxjy.cuc.edu.cn/2026/0717/c13404a272813/page.htm" Type="http://schemas.openxmlformats.org/officeDocument/2006/relationships/hyperlink" TargetMode="External"></Relationship><Relationship Id="rId3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B2" xSplit="1" ySplit="1"/>
    </sheetView>
  </sheetViews>
  <sheetFormatPr defaultRowHeight="0"/>
  <cols>
    <col collapsed="false" customWidth="true" hidden="false" max="4" min="4" style="0" width="33.183098591549296"/>
    <col collapsed="false" customWidth="true" hidden="false" max="5" min="5" style="0" width="33.183098591549296"/>
    <col collapsed="false" customWidth="true" hidden="false" max="1" min="1" style="0" width="16.281690140845072"/>
    <col collapsed="false" customWidth="true" hidden="false" max="2" min="2" style="0" width="29.802816901408452"/>
    <col collapsed="false" customWidth="true" hidden="false" max="3" min="3" style="0" width="25.295774647887324"/>
  </cols>
  <sheetData>
    <row customHeight="true" ht="23.80952380952381"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customHeight="true" ht="42.85714285714286"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</row>
    <row customHeight="true" ht="42.85714285714286" r="3">
      <c r="A3" s="4" t="s">
        <v>11</v>
      </c>
      <c r="B3" s="5" t="s">
        <v>12</v>
      </c>
      <c r="C3" s="5" t="s">
        <v>13</v>
      </c>
      <c r="D3" s="5" t="s">
        <v>14</v>
      </c>
      <c r="E3" s="5" t="s">
        <v>15</v>
      </c>
    </row>
    <row customHeight="true" ht="42.85714285714286" r="4">
      <c r="A4" s="4" t="s">
        <v>16</v>
      </c>
      <c r="B4" s="5" t="s">
        <v>17</v>
      </c>
      <c r="C4" s="5" t="s">
        <v>18</v>
      </c>
      <c r="D4" s="5" t="s">
        <v>19</v>
      </c>
      <c r="E4" s="5" t="s">
        <v>20</v>
      </c>
    </row>
    <row customHeight="true" ht="42.85714285714286" r="5">
      <c r="A5" s="4" t="s">
        <v>21</v>
      </c>
      <c r="B5" s="5" t="s">
        <v>22</v>
      </c>
      <c r="C5" s="5" t="s">
        <v>23</v>
      </c>
      <c r="D5" s="5" t="s">
        <v>24</v>
      </c>
      <c r="E5" s="5" t="s">
        <v>25</v>
      </c>
    </row>
    <row customHeight="true" ht="42.85714285714286" r="6">
      <c r="A6" s="4" t="s">
        <v>26</v>
      </c>
      <c r="B6" s="5" t="s">
        <v>27</v>
      </c>
      <c r="C6" s="5" t="s">
        <v>28</v>
      </c>
      <c r="D6" s="5" t="s">
        <v>29</v>
      </c>
      <c r="E6" s="5" t="s">
        <v>30</v>
      </c>
    </row>
    <row customHeight="true" ht="42.85714285714286" r="7">
      <c r="A7" s="4" t="s">
        <v>31</v>
      </c>
      <c r="B7" s="5" t="s">
        <v>32</v>
      </c>
      <c r="C7" s="5" t="s">
        <v>33</v>
      </c>
      <c r="D7" s="5" t="s">
        <v>34</v>
      </c>
      <c r="E7" s="5" t="s">
        <v>35</v>
      </c>
    </row>
    <row customHeight="true" ht="42.85714285714286" r="8">
      <c r="A8" s="2" t="s">
        <v>36</v>
      </c>
      <c r="B8" s="3" t="s">
        <v>37</v>
      </c>
      <c r="C8" s="3" t="s">
        <v>38</v>
      </c>
      <c r="D8" s="3" t="s">
        <v>39</v>
      </c>
      <c r="E8" s="3" t="s">
        <v>40</v>
      </c>
    </row>
    <row customHeight="true" ht="42.85714285714286" r="9">
      <c r="A9" s="6" t="s">
        <v>41</v>
      </c>
      <c r="B9" s="7" t="s">
        <v>42</v>
      </c>
      <c r="C9" s="7" t="s">
        <v>43</v>
      </c>
      <c r="D9" s="7" t="s">
        <v>44</v>
      </c>
      <c r="E9" s="7" t="s">
        <v>45</v>
      </c>
    </row>
    <row customHeight="true" ht="42.85714285714286" r="10">
      <c r="A10" s="2" t="s">
        <v>46</v>
      </c>
      <c r="B10" s="3" t="s">
        <v>47</v>
      </c>
      <c r="C10" s="3" t="s">
        <v>48</v>
      </c>
      <c r="D10" s="3" t="s">
        <v>49</v>
      </c>
      <c r="E10" s="3" t="s">
        <v>50</v>
      </c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2" xSplit="2" ySplit="1"/>
    </sheetView>
  </sheetViews>
  <sheetFormatPr defaultRowHeight="0"/>
  <cols>
    <col collapsed="false" customWidth="true" hidden="false" max="15" min="15" style="0" width="9.52112676056338"/>
    <col collapsed="false" customWidth="true" hidden="false" max="19" min="19" style="0" width="11.774647887323944"/>
    <col collapsed="false" customWidth="true" hidden="false" max="23" min="23" style="0" width="11.211267605633802"/>
    <col collapsed="false" customWidth="true" hidden="false" max="3" min="3" style="0" width="11.774647887323944"/>
    <col collapsed="false" customWidth="true" hidden="false" max="7" min="7" style="0" width="16.281690140845072"/>
    <col collapsed="false" customWidth="true" hidden="false" max="11" min="11" style="0" width="9.52112676056338"/>
    <col collapsed="false" customWidth="true" hidden="false" max="14" min="14" style="0" width="9.52112676056338"/>
    <col collapsed="false" customWidth="true" hidden="false" max="18" min="18" style="0" width="24.169014084507044"/>
    <col collapsed="false" customWidth="true" hidden="false" max="22" min="22" style="0" width="33.183098591549296"/>
    <col collapsed="false" customWidth="true" hidden="false" max="2" min="2" style="0" width="27.549295774647888"/>
    <col collapsed="false" customWidth="true" hidden="false" max="6" min="6" style="0" width="19.661971830985916"/>
    <col collapsed="false" customWidth="true" hidden="false" max="10" min="10" style="0" width="9.52112676056338"/>
    <col collapsed="false" customWidth="true" hidden="false" max="13" min="13" style="0" width="9.52112676056338"/>
    <col collapsed="false" customWidth="true" hidden="false" max="17" min="17" style="0" width="7.267605633802817"/>
    <col collapsed="false" customWidth="true" hidden="false" max="21" min="21" style="0" width="20.788732394366196"/>
    <col collapsed="false" customWidth="true" hidden="false" max="1" min="1" style="0" width="5.577464788732394"/>
    <col collapsed="false" customWidth="true" hidden="false" max="5" min="5" style="0" width="25.295774647887324"/>
    <col collapsed="false" customWidth="true" hidden="false" max="9" min="9" style="0" width="24.169014084507044"/>
    <col collapsed="false" customWidth="true" hidden="false" max="16" min="16" style="0" width="7.267605633802817"/>
    <col collapsed="false" customWidth="true" hidden="false" max="20" min="20" style="0" width="33.183098591549296"/>
    <col collapsed="false" customWidth="true" hidden="false" max="24" min="24" style="0" width="11.211267605633802"/>
    <col collapsed="false" customWidth="true" hidden="false" max="4" min="4" style="0" width="11.774647887323944"/>
    <col collapsed="false" customWidth="true" hidden="false" max="8" min="8" style="0" width="35.436619718309856"/>
    <col collapsed="false" customWidth="true" hidden="false" max="12" min="12" style="0" width="9.52112676056338"/>
  </cols>
  <sheetData>
    <row customHeight="true" ht="32.73809523809524" r="1">
      <c r="A1" s="8" t="s">
        <v>51</v>
      </c>
      <c r="B1" s="8" t="s">
        <v>52</v>
      </c>
      <c r="C1" s="8" t="s">
        <v>53</v>
      </c>
      <c r="D1" s="8" t="s">
        <v>54</v>
      </c>
      <c r="E1" s="8" t="s">
        <v>55</v>
      </c>
      <c r="F1" s="8" t="s">
        <v>56</v>
      </c>
      <c r="G1" s="8" t="s">
        <v>57</v>
      </c>
      <c r="H1" s="8" t="s">
        <v>58</v>
      </c>
      <c r="I1" s="8" t="s">
        <v>59</v>
      </c>
      <c r="J1" s="8" t="s">
        <v>60</v>
      </c>
      <c r="K1" s="8" t="s">
        <v>61</v>
      </c>
      <c r="L1" s="8" t="s">
        <v>62</v>
      </c>
      <c r="M1" s="8" t="s">
        <v>63</v>
      </c>
      <c r="N1" s="8" t="s">
        <v>64</v>
      </c>
      <c r="O1" s="8" t="s">
        <v>65</v>
      </c>
      <c r="P1" s="8" t="s">
        <v>66</v>
      </c>
      <c r="Q1" s="8" t="s">
        <v>67</v>
      </c>
      <c r="R1" s="8" t="s">
        <v>68</v>
      </c>
      <c r="S1" s="8" t="s">
        <v>69</v>
      </c>
      <c r="T1" s="8" t="s">
        <v>70</v>
      </c>
      <c r="U1" s="8" t="s">
        <v>71</v>
      </c>
      <c r="V1" s="8" t="s">
        <v>72</v>
      </c>
      <c r="W1" s="8" t="s">
        <v>73</v>
      </c>
      <c r="X1" s="8" t="s">
        <v>74</v>
      </c>
    </row>
    <row customHeight="true" ht="52.38095238095238" r="2">
      <c r="A2" s="9">
        <v>1</v>
      </c>
      <c r="B2" s="10" t="s">
        <v>75</v>
      </c>
      <c r="C2" s="11" t="s">
        <v>76</v>
      </c>
      <c r="D2" s="11" t="s">
        <v>77</v>
      </c>
      <c r="E2" s="10" t="s">
        <v>78</v>
      </c>
      <c r="F2" s="10" t="s">
        <v>79</v>
      </c>
      <c r="G2" s="10" t="s">
        <v>80</v>
      </c>
      <c r="H2" s="10" t="s">
        <v>81</v>
      </c>
      <c r="I2" s="10" t="s">
        <v>82</v>
      </c>
      <c r="J2" s="12">
        <v>20</v>
      </c>
      <c r="K2" s="12">
        <v>25</v>
      </c>
      <c r="L2" s="12">
        <v>19</v>
      </c>
      <c r="M2" s="12">
        <v>14</v>
      </c>
      <c r="N2" s="12">
        <v>10</v>
      </c>
      <c r="O2" s="12">
        <v>10</v>
      </c>
      <c r="P2" s="9">
        <f t="shared" ref="P2:P32" si="0">SUM(J2:O2)</f>
      </c>
      <c r="Q2" s="13">
        <f t="shared" ref="Q2:Q32" si="1">IF(P2&gt;=90,"S",IF(P2&gt;=80,"A",IF(P2&gt;=70,"B",IF(P2&gt;=60,"C","D"))))</f>
      </c>
      <c r="R2" s="14" t="s">
        <v>83</v>
      </c>
      <c r="S2" s="14" t="s">
        <v>84</v>
      </c>
      <c r="T2" s="10" t="s">
        <v>85</v>
      </c>
      <c r="U2" s="10" t="s">
        <v>86</v>
      </c>
      <c r="V2" s="10" t="s">
        <v>87</v>
      </c>
      <c r="W2" s="11" t="s">
        <v>88</v>
      </c>
      <c r="X2" s="11" t="s">
        <v>89</v>
      </c>
    </row>
    <row customHeight="true" ht="52.38095238095238" r="3">
      <c r="A3" s="15">
        <v>2</v>
      </c>
      <c r="B3" s="16" t="s">
        <v>90</v>
      </c>
      <c r="C3" s="17" t="s">
        <v>76</v>
      </c>
      <c r="D3" s="17" t="s">
        <v>77</v>
      </c>
      <c r="E3" s="16" t="s">
        <v>91</v>
      </c>
      <c r="F3" s="16" t="s">
        <v>92</v>
      </c>
      <c r="G3" s="16" t="s">
        <v>93</v>
      </c>
      <c r="H3" s="16" t="s">
        <v>94</v>
      </c>
      <c r="I3" s="16" t="s">
        <v>95</v>
      </c>
      <c r="J3" s="12">
        <v>20</v>
      </c>
      <c r="K3" s="12">
        <v>24</v>
      </c>
      <c r="L3" s="12">
        <v>19</v>
      </c>
      <c r="M3" s="12">
        <v>13</v>
      </c>
      <c r="N3" s="12">
        <v>10</v>
      </c>
      <c r="O3" s="12">
        <v>10</v>
      </c>
      <c r="P3" s="9">
        <f t="shared" si="0"/>
      </c>
      <c r="Q3" s="13">
        <f t="shared" si="1"/>
      </c>
      <c r="R3" s="14" t="s">
        <v>96</v>
      </c>
      <c r="S3" s="14" t="s">
        <v>84</v>
      </c>
      <c r="T3" s="16" t="s">
        <v>97</v>
      </c>
      <c r="U3" s="16" t="s">
        <v>98</v>
      </c>
      <c r="V3" s="16" t="s">
        <v>99</v>
      </c>
      <c r="W3" s="17" t="s">
        <v>88</v>
      </c>
      <c r="X3" s="17" t="s">
        <v>100</v>
      </c>
    </row>
    <row customHeight="true" ht="52.38095238095238" r="4">
      <c r="A4" s="18">
        <v>3</v>
      </c>
      <c r="B4" s="19" t="s">
        <v>101</v>
      </c>
      <c r="C4" s="20" t="s">
        <v>76</v>
      </c>
      <c r="D4" s="20" t="s">
        <v>102</v>
      </c>
      <c r="E4" s="19" t="s">
        <v>103</v>
      </c>
      <c r="F4" s="19" t="s">
        <v>104</v>
      </c>
      <c r="G4" s="19" t="s">
        <v>105</v>
      </c>
      <c r="H4" s="19" t="s">
        <v>106</v>
      </c>
      <c r="I4" s="19" t="s">
        <v>107</v>
      </c>
      <c r="J4" s="12">
        <v>20</v>
      </c>
      <c r="K4" s="12">
        <v>23</v>
      </c>
      <c r="L4" s="12">
        <v>16</v>
      </c>
      <c r="M4" s="12">
        <v>15</v>
      </c>
      <c r="N4" s="12">
        <v>9</v>
      </c>
      <c r="O4" s="12">
        <v>10</v>
      </c>
      <c r="P4" s="9">
        <f t="shared" si="0"/>
      </c>
      <c r="Q4" s="13">
        <f t="shared" si="1"/>
      </c>
      <c r="R4" s="14" t="s">
        <v>108</v>
      </c>
      <c r="S4" s="14" t="s">
        <v>109</v>
      </c>
      <c r="T4" s="19" t="s">
        <v>110</v>
      </c>
      <c r="U4" s="19" t="s">
        <v>111</v>
      </c>
      <c r="V4" s="19" t="s">
        <v>112</v>
      </c>
      <c r="W4" s="20" t="s">
        <v>113</v>
      </c>
      <c r="X4" s="20" t="s">
        <v>89</v>
      </c>
    </row>
    <row customHeight="true" ht="52.38095238095238" r="5">
      <c r="A5" s="18">
        <v>4</v>
      </c>
      <c r="B5" s="19" t="s">
        <v>114</v>
      </c>
      <c r="C5" s="20" t="s">
        <v>115</v>
      </c>
      <c r="D5" s="20" t="s">
        <v>116</v>
      </c>
      <c r="E5" s="19" t="s">
        <v>117</v>
      </c>
      <c r="F5" s="19" t="s">
        <v>118</v>
      </c>
      <c r="G5" s="19" t="s">
        <v>119</v>
      </c>
      <c r="H5" s="19" t="s">
        <v>120</v>
      </c>
      <c r="I5" s="19" t="s">
        <v>121</v>
      </c>
      <c r="J5" s="12">
        <v>19</v>
      </c>
      <c r="K5" s="12">
        <v>24</v>
      </c>
      <c r="L5" s="12">
        <v>19</v>
      </c>
      <c r="M5" s="12">
        <v>13</v>
      </c>
      <c r="N5" s="12">
        <v>8</v>
      </c>
      <c r="O5" s="12">
        <v>9</v>
      </c>
      <c r="P5" s="9">
        <f t="shared" si="0"/>
      </c>
      <c r="Q5" s="13">
        <f t="shared" si="1"/>
      </c>
      <c r="R5" s="14" t="s">
        <v>122</v>
      </c>
      <c r="S5" s="14" t="s">
        <v>123</v>
      </c>
      <c r="T5" s="19" t="s">
        <v>124</v>
      </c>
      <c r="U5" s="19" t="s">
        <v>125</v>
      </c>
      <c r="V5" s="19" t="s">
        <v>126</v>
      </c>
      <c r="W5" s="20" t="s">
        <v>127</v>
      </c>
      <c r="X5" s="20" t="s">
        <v>89</v>
      </c>
    </row>
    <row customHeight="true" ht="52.38095238095238" r="6">
      <c r="A6" s="15">
        <v>5</v>
      </c>
      <c r="B6" s="16" t="s">
        <v>128</v>
      </c>
      <c r="C6" s="17" t="s">
        <v>129</v>
      </c>
      <c r="D6" s="17" t="s">
        <v>77</v>
      </c>
      <c r="E6" s="16" t="s">
        <v>130</v>
      </c>
      <c r="F6" s="16" t="s">
        <v>131</v>
      </c>
      <c r="G6" s="16" t="s">
        <v>132</v>
      </c>
      <c r="H6" s="16" t="s">
        <v>133</v>
      </c>
      <c r="I6" s="16" t="s">
        <v>134</v>
      </c>
      <c r="J6" s="12">
        <v>20</v>
      </c>
      <c r="K6" s="12">
        <v>25</v>
      </c>
      <c r="L6" s="12">
        <v>19</v>
      </c>
      <c r="M6" s="12">
        <v>13</v>
      </c>
      <c r="N6" s="12">
        <v>10</v>
      </c>
      <c r="O6" s="12">
        <v>3</v>
      </c>
      <c r="P6" s="9">
        <f t="shared" si="0"/>
      </c>
      <c r="Q6" s="13">
        <f t="shared" si="1"/>
      </c>
      <c r="R6" s="14" t="s">
        <v>135</v>
      </c>
      <c r="S6" s="14" t="s">
        <v>123</v>
      </c>
      <c r="T6" s="16" t="s">
        <v>136</v>
      </c>
      <c r="U6" s="16" t="s">
        <v>137</v>
      </c>
      <c r="V6" s="16" t="s">
        <v>138</v>
      </c>
      <c r="W6" s="17" t="s">
        <v>88</v>
      </c>
      <c r="X6" s="17" t="s">
        <v>100</v>
      </c>
    </row>
    <row customHeight="true" ht="52.38095238095238" r="7">
      <c r="A7" s="18">
        <v>6</v>
      </c>
      <c r="B7" s="19" t="s">
        <v>139</v>
      </c>
      <c r="C7" s="20" t="s">
        <v>140</v>
      </c>
      <c r="D7" s="20" t="s">
        <v>77</v>
      </c>
      <c r="E7" s="19" t="s">
        <v>141</v>
      </c>
      <c r="F7" s="19" t="s">
        <v>142</v>
      </c>
      <c r="G7" s="19" t="s">
        <v>143</v>
      </c>
      <c r="H7" s="19" t="s">
        <v>144</v>
      </c>
      <c r="I7" s="19" t="s">
        <v>145</v>
      </c>
      <c r="J7" s="12">
        <v>20</v>
      </c>
      <c r="K7" s="12">
        <v>24</v>
      </c>
      <c r="L7" s="12">
        <v>18</v>
      </c>
      <c r="M7" s="12">
        <v>13</v>
      </c>
      <c r="N7" s="12">
        <v>10</v>
      </c>
      <c r="O7" s="12">
        <v>5</v>
      </c>
      <c r="P7" s="9">
        <f t="shared" si="0"/>
      </c>
      <c r="Q7" s="13">
        <f t="shared" si="1"/>
      </c>
      <c r="R7" s="14" t="s">
        <v>146</v>
      </c>
      <c r="S7" s="14" t="s">
        <v>123</v>
      </c>
      <c r="T7" s="19" t="s">
        <v>147</v>
      </c>
      <c r="U7" s="19" t="s">
        <v>148</v>
      </c>
      <c r="V7" s="19" t="s">
        <v>149</v>
      </c>
      <c r="W7" s="20" t="s">
        <v>88</v>
      </c>
      <c r="X7" s="20" t="s">
        <v>89</v>
      </c>
    </row>
    <row customHeight="true" ht="52.38095238095238" r="8">
      <c r="A8" s="15">
        <v>7</v>
      </c>
      <c r="B8" s="16" t="s">
        <v>150</v>
      </c>
      <c r="C8" s="17" t="s">
        <v>76</v>
      </c>
      <c r="D8" s="17" t="s">
        <v>77</v>
      </c>
      <c r="E8" s="16" t="s">
        <v>151</v>
      </c>
      <c r="F8" s="16" t="s">
        <v>152</v>
      </c>
      <c r="G8" s="16" t="s">
        <v>153</v>
      </c>
      <c r="H8" s="16" t="s">
        <v>154</v>
      </c>
      <c r="I8" s="16" t="s">
        <v>155</v>
      </c>
      <c r="J8" s="12">
        <v>20</v>
      </c>
      <c r="K8" s="12">
        <v>18</v>
      </c>
      <c r="L8" s="12">
        <v>18</v>
      </c>
      <c r="M8" s="12">
        <v>13</v>
      </c>
      <c r="N8" s="12">
        <v>10</v>
      </c>
      <c r="O8" s="12">
        <v>10</v>
      </c>
      <c r="P8" s="9">
        <f t="shared" si="0"/>
      </c>
      <c r="Q8" s="13">
        <f t="shared" si="1"/>
      </c>
      <c r="R8" s="14" t="s">
        <v>156</v>
      </c>
      <c r="S8" s="14" t="s">
        <v>84</v>
      </c>
      <c r="T8" s="16" t="s">
        <v>157</v>
      </c>
      <c r="U8" s="16" t="s">
        <v>158</v>
      </c>
      <c r="V8" s="16" t="s">
        <v>159</v>
      </c>
      <c r="W8" s="17" t="s">
        <v>88</v>
      </c>
      <c r="X8" s="17" t="s">
        <v>89</v>
      </c>
    </row>
    <row customHeight="true" ht="52.38095238095238" r="9">
      <c r="A9" s="18">
        <v>8</v>
      </c>
      <c r="B9" s="19" t="s">
        <v>160</v>
      </c>
      <c r="C9" s="20" t="s">
        <v>161</v>
      </c>
      <c r="D9" s="20" t="s">
        <v>162</v>
      </c>
      <c r="E9" s="19" t="s">
        <v>163</v>
      </c>
      <c r="F9" s="19" t="s">
        <v>164</v>
      </c>
      <c r="G9" s="19" t="s">
        <v>165</v>
      </c>
      <c r="H9" s="19" t="s">
        <v>166</v>
      </c>
      <c r="I9" s="19" t="s">
        <v>167</v>
      </c>
      <c r="J9" s="12">
        <v>17</v>
      </c>
      <c r="K9" s="12">
        <v>24</v>
      </c>
      <c r="L9" s="12">
        <v>18</v>
      </c>
      <c r="M9" s="12">
        <v>15</v>
      </c>
      <c r="N9" s="12">
        <v>8</v>
      </c>
      <c r="O9" s="12">
        <v>7</v>
      </c>
      <c r="P9" s="9">
        <f t="shared" si="0"/>
      </c>
      <c r="Q9" s="13">
        <f t="shared" si="1"/>
      </c>
      <c r="R9" s="14" t="s">
        <v>168</v>
      </c>
      <c r="S9" s="14" t="s">
        <v>169</v>
      </c>
      <c r="T9" s="19" t="s">
        <v>170</v>
      </c>
      <c r="U9" s="19" t="s">
        <v>171</v>
      </c>
      <c r="V9" s="19" t="s">
        <v>172</v>
      </c>
      <c r="W9" s="20" t="s">
        <v>173</v>
      </c>
      <c r="X9" s="20" t="s">
        <v>100</v>
      </c>
    </row>
    <row customHeight="true" ht="52.38095238095238" r="10">
      <c r="A10" s="15">
        <v>9</v>
      </c>
      <c r="B10" s="16" t="s">
        <v>174</v>
      </c>
      <c r="C10" s="17" t="s">
        <v>175</v>
      </c>
      <c r="D10" s="17" t="s">
        <v>176</v>
      </c>
      <c r="E10" s="16" t="s">
        <v>177</v>
      </c>
      <c r="F10" s="16" t="s">
        <v>178</v>
      </c>
      <c r="G10" s="16" t="s">
        <v>179</v>
      </c>
      <c r="H10" s="16" t="s">
        <v>180</v>
      </c>
      <c r="I10" s="16" t="s">
        <v>181</v>
      </c>
      <c r="J10" s="12">
        <v>14</v>
      </c>
      <c r="K10" s="12">
        <v>24</v>
      </c>
      <c r="L10" s="12">
        <v>19</v>
      </c>
      <c r="M10" s="12">
        <v>8</v>
      </c>
      <c r="N10" s="12">
        <v>9</v>
      </c>
      <c r="O10" s="12">
        <v>8</v>
      </c>
      <c r="P10" s="9">
        <f t="shared" si="0"/>
      </c>
      <c r="Q10" s="13">
        <f t="shared" si="1"/>
      </c>
      <c r="R10" s="14" t="s">
        <v>182</v>
      </c>
      <c r="S10" s="14" t="s">
        <v>183</v>
      </c>
      <c r="T10" s="16" t="s">
        <v>184</v>
      </c>
      <c r="U10" s="16" t="s">
        <v>185</v>
      </c>
      <c r="V10" s="16" t="s">
        <v>186</v>
      </c>
      <c r="W10" s="17" t="s">
        <v>187</v>
      </c>
      <c r="X10" s="17" t="s">
        <v>100</v>
      </c>
    </row>
    <row customHeight="true" ht="52.38095238095238" r="11">
      <c r="A11" s="18">
        <v>10</v>
      </c>
      <c r="B11" s="19" t="s">
        <v>188</v>
      </c>
      <c r="C11" s="20" t="s">
        <v>189</v>
      </c>
      <c r="D11" s="20" t="s">
        <v>190</v>
      </c>
      <c r="E11" s="19" t="s">
        <v>191</v>
      </c>
      <c r="F11" s="19" t="s">
        <v>192</v>
      </c>
      <c r="G11" s="19" t="s">
        <v>193</v>
      </c>
      <c r="H11" s="19" t="s">
        <v>194</v>
      </c>
      <c r="I11" s="19" t="s">
        <v>195</v>
      </c>
      <c r="J11" s="12">
        <v>15</v>
      </c>
      <c r="K11" s="12">
        <v>23</v>
      </c>
      <c r="L11" s="12">
        <v>18</v>
      </c>
      <c r="M11" s="12">
        <v>8</v>
      </c>
      <c r="N11" s="12">
        <v>9</v>
      </c>
      <c r="O11" s="12">
        <v>8</v>
      </c>
      <c r="P11" s="9">
        <f t="shared" si="0"/>
      </c>
      <c r="Q11" s="13">
        <f t="shared" si="1"/>
      </c>
      <c r="R11" s="14" t="s">
        <v>196</v>
      </c>
      <c r="S11" s="14" t="s">
        <v>197</v>
      </c>
      <c r="T11" s="19" t="s">
        <v>198</v>
      </c>
      <c r="U11" s="19" t="s">
        <v>199</v>
      </c>
      <c r="V11" s="19" t="s">
        <v>200</v>
      </c>
      <c r="W11" s="20" t="s">
        <v>201</v>
      </c>
      <c r="X11" s="20" t="s">
        <v>100</v>
      </c>
    </row>
    <row customHeight="true" ht="52.38095238095238" r="12">
      <c r="A12" s="15">
        <v>11</v>
      </c>
      <c r="B12" s="16" t="s">
        <v>202</v>
      </c>
      <c r="C12" s="17" t="s">
        <v>203</v>
      </c>
      <c r="D12" s="17" t="s">
        <v>77</v>
      </c>
      <c r="E12" s="16" t="s">
        <v>204</v>
      </c>
      <c r="F12" s="16" t="s">
        <v>205</v>
      </c>
      <c r="G12" s="16" t="s">
        <v>206</v>
      </c>
      <c r="H12" s="16" t="s">
        <v>207</v>
      </c>
      <c r="I12" s="16" t="s">
        <v>208</v>
      </c>
      <c r="J12" s="12">
        <v>20</v>
      </c>
      <c r="K12" s="12">
        <v>18</v>
      </c>
      <c r="L12" s="12">
        <v>15</v>
      </c>
      <c r="M12" s="12">
        <v>15</v>
      </c>
      <c r="N12" s="12">
        <v>10</v>
      </c>
      <c r="O12" s="12">
        <v>1</v>
      </c>
      <c r="P12" s="9">
        <f t="shared" si="0"/>
      </c>
      <c r="Q12" s="13">
        <f t="shared" si="1"/>
      </c>
      <c r="R12" s="14" t="s">
        <v>209</v>
      </c>
      <c r="S12" s="14" t="s">
        <v>123</v>
      </c>
      <c r="T12" s="16" t="s">
        <v>210</v>
      </c>
      <c r="U12" s="16" t="s">
        <v>211</v>
      </c>
      <c r="V12" s="16" t="s">
        <v>212</v>
      </c>
      <c r="W12" s="17" t="s">
        <v>88</v>
      </c>
      <c r="X12" s="17" t="s">
        <v>89</v>
      </c>
    </row>
    <row customHeight="true" ht="52.38095238095238" r="13">
      <c r="A13" s="18">
        <v>12</v>
      </c>
      <c r="B13" s="19" t="s">
        <v>213</v>
      </c>
      <c r="C13" s="20" t="s">
        <v>214</v>
      </c>
      <c r="D13" s="20" t="s">
        <v>215</v>
      </c>
      <c r="E13" s="19" t="s">
        <v>216</v>
      </c>
      <c r="F13" s="19" t="s">
        <v>217</v>
      </c>
      <c r="G13" s="19" t="s">
        <v>218</v>
      </c>
      <c r="H13" s="19" t="s">
        <v>219</v>
      </c>
      <c r="I13" s="19" t="s">
        <v>220</v>
      </c>
      <c r="J13" s="12">
        <v>20</v>
      </c>
      <c r="K13" s="12">
        <v>14</v>
      </c>
      <c r="L13" s="12">
        <v>10</v>
      </c>
      <c r="M13" s="12">
        <v>15</v>
      </c>
      <c r="N13" s="12">
        <v>8</v>
      </c>
      <c r="O13" s="12">
        <v>9</v>
      </c>
      <c r="P13" s="9">
        <f t="shared" si="0"/>
      </c>
      <c r="Q13" s="13">
        <f t="shared" si="1"/>
      </c>
      <c r="R13" s="14" t="s">
        <v>221</v>
      </c>
      <c r="S13" s="14" t="s">
        <v>222</v>
      </c>
      <c r="T13" s="19" t="s">
        <v>223</v>
      </c>
      <c r="U13" s="19" t="s">
        <v>224</v>
      </c>
      <c r="V13" s="19" t="s">
        <v>225</v>
      </c>
      <c r="W13" s="20" t="s">
        <v>226</v>
      </c>
      <c r="X13" s="20" t="s">
        <v>89</v>
      </c>
    </row>
    <row customHeight="true" ht="52.38095238095238" r="14">
      <c r="A14" s="15">
        <v>13</v>
      </c>
      <c r="B14" s="16" t="s">
        <v>227</v>
      </c>
      <c r="C14" s="17" t="s">
        <v>189</v>
      </c>
      <c r="D14" s="17" t="s">
        <v>228</v>
      </c>
      <c r="E14" s="16" t="s">
        <v>229</v>
      </c>
      <c r="F14" s="16" t="s">
        <v>230</v>
      </c>
      <c r="G14" s="16" t="s">
        <v>231</v>
      </c>
      <c r="H14" s="16" t="s">
        <v>232</v>
      </c>
      <c r="I14" s="16" t="s">
        <v>233</v>
      </c>
      <c r="J14" s="12">
        <v>13</v>
      </c>
      <c r="K14" s="12">
        <v>25</v>
      </c>
      <c r="L14" s="12">
        <v>18</v>
      </c>
      <c r="M14" s="12">
        <v>7</v>
      </c>
      <c r="N14" s="12">
        <v>6</v>
      </c>
      <c r="O14" s="12">
        <v>7</v>
      </c>
      <c r="P14" s="9">
        <f t="shared" si="0"/>
      </c>
      <c r="Q14" s="13">
        <f t="shared" si="1"/>
      </c>
      <c r="R14" s="14" t="s">
        <v>234</v>
      </c>
      <c r="S14" s="14" t="s">
        <v>123</v>
      </c>
      <c r="T14" s="16" t="s">
        <v>235</v>
      </c>
      <c r="U14" s="16" t="s">
        <v>236</v>
      </c>
      <c r="V14" s="16" t="s">
        <v>237</v>
      </c>
      <c r="W14" s="17" t="s">
        <v>201</v>
      </c>
      <c r="X14" s="17" t="s">
        <v>100</v>
      </c>
    </row>
    <row customHeight="true" ht="52.38095238095238" r="15">
      <c r="A15" s="18">
        <v>14</v>
      </c>
      <c r="B15" s="19" t="s">
        <v>238</v>
      </c>
      <c r="C15" s="20" t="s">
        <v>189</v>
      </c>
      <c r="D15" s="20" t="s">
        <v>228</v>
      </c>
      <c r="E15" s="19" t="s">
        <v>239</v>
      </c>
      <c r="F15" s="19" t="s">
        <v>240</v>
      </c>
      <c r="G15" s="19" t="s">
        <v>241</v>
      </c>
      <c r="H15" s="19" t="s">
        <v>242</v>
      </c>
      <c r="I15" s="19" t="s">
        <v>243</v>
      </c>
      <c r="J15" s="12">
        <v>14</v>
      </c>
      <c r="K15" s="12">
        <v>22</v>
      </c>
      <c r="L15" s="12">
        <v>18</v>
      </c>
      <c r="M15" s="12">
        <v>7</v>
      </c>
      <c r="N15" s="12">
        <v>8</v>
      </c>
      <c r="O15" s="12">
        <v>7</v>
      </c>
      <c r="P15" s="9">
        <f t="shared" si="0"/>
      </c>
      <c r="Q15" s="13">
        <f t="shared" si="1"/>
      </c>
      <c r="R15" s="14" t="s">
        <v>244</v>
      </c>
      <c r="S15" s="14" t="s">
        <v>197</v>
      </c>
      <c r="T15" s="19" t="s">
        <v>245</v>
      </c>
      <c r="U15" s="19" t="s">
        <v>246</v>
      </c>
      <c r="V15" s="19" t="s">
        <v>247</v>
      </c>
      <c r="W15" s="20" t="s">
        <v>201</v>
      </c>
      <c r="X15" s="20" t="s">
        <v>100</v>
      </c>
    </row>
    <row customHeight="true" ht="52.38095238095238" r="16">
      <c r="A16" s="15">
        <v>15</v>
      </c>
      <c r="B16" s="16" t="s">
        <v>248</v>
      </c>
      <c r="C16" s="17" t="s">
        <v>249</v>
      </c>
      <c r="D16" s="17" t="s">
        <v>250</v>
      </c>
      <c r="E16" s="16" t="s">
        <v>251</v>
      </c>
      <c r="F16" s="16" t="s">
        <v>252</v>
      </c>
      <c r="G16" s="16" t="s">
        <v>253</v>
      </c>
      <c r="H16" s="16" t="s">
        <v>254</v>
      </c>
      <c r="I16" s="16" t="s">
        <v>255</v>
      </c>
      <c r="J16" s="12">
        <v>18</v>
      </c>
      <c r="K16" s="12">
        <v>11</v>
      </c>
      <c r="L16" s="12">
        <v>13</v>
      </c>
      <c r="M16" s="12">
        <v>15</v>
      </c>
      <c r="N16" s="12">
        <v>9</v>
      </c>
      <c r="O16" s="12">
        <v>10</v>
      </c>
      <c r="P16" s="9">
        <f t="shared" si="0"/>
      </c>
      <c r="Q16" s="13">
        <f t="shared" si="1"/>
      </c>
      <c r="R16" s="14" t="s">
        <v>256</v>
      </c>
      <c r="S16" s="14" t="s">
        <v>257</v>
      </c>
      <c r="T16" s="16" t="s">
        <v>258</v>
      </c>
      <c r="U16" s="16" t="s">
        <v>259</v>
      </c>
      <c r="V16" s="16" t="s">
        <v>260</v>
      </c>
      <c r="W16" s="17" t="s">
        <v>261</v>
      </c>
      <c r="X16" s="17" t="s">
        <v>89</v>
      </c>
    </row>
    <row customHeight="true" ht="52.38095238095238" r="17">
      <c r="A17" s="18">
        <v>16</v>
      </c>
      <c r="B17" s="19" t="s">
        <v>262</v>
      </c>
      <c r="C17" s="20" t="s">
        <v>115</v>
      </c>
      <c r="D17" s="20" t="s">
        <v>228</v>
      </c>
      <c r="E17" s="19" t="s">
        <v>263</v>
      </c>
      <c r="F17" s="19" t="s">
        <v>264</v>
      </c>
      <c r="G17" s="19" t="s">
        <v>265</v>
      </c>
      <c r="H17" s="19" t="s">
        <v>266</v>
      </c>
      <c r="I17" s="19" t="s">
        <v>267</v>
      </c>
      <c r="J17" s="12">
        <v>17</v>
      </c>
      <c r="K17" s="12">
        <v>12</v>
      </c>
      <c r="L17" s="12">
        <v>18</v>
      </c>
      <c r="M17" s="12">
        <v>8</v>
      </c>
      <c r="N17" s="12">
        <v>10</v>
      </c>
      <c r="O17" s="12">
        <v>9</v>
      </c>
      <c r="P17" s="9">
        <f t="shared" si="0"/>
      </c>
      <c r="Q17" s="13">
        <f t="shared" si="1"/>
      </c>
      <c r="R17" s="14" t="s">
        <v>268</v>
      </c>
      <c r="S17" s="14" t="s">
        <v>84</v>
      </c>
      <c r="T17" s="19" t="s">
        <v>269</v>
      </c>
      <c r="U17" s="19" t="s">
        <v>270</v>
      </c>
      <c r="V17" s="19" t="s">
        <v>271</v>
      </c>
      <c r="W17" s="20" t="s">
        <v>272</v>
      </c>
      <c r="X17" s="20" t="s">
        <v>89</v>
      </c>
    </row>
    <row customHeight="true" ht="52.38095238095238" r="18">
      <c r="A18" s="15">
        <v>17</v>
      </c>
      <c r="B18" s="16" t="s">
        <v>273</v>
      </c>
      <c r="C18" s="17" t="s">
        <v>274</v>
      </c>
      <c r="D18" s="17" t="s">
        <v>77</v>
      </c>
      <c r="E18" s="16" t="s">
        <v>275</v>
      </c>
      <c r="F18" s="16" t="s">
        <v>276</v>
      </c>
      <c r="G18" s="16" t="s">
        <v>277</v>
      </c>
      <c r="H18" s="16" t="s">
        <v>278</v>
      </c>
      <c r="I18" s="16" t="s">
        <v>279</v>
      </c>
      <c r="J18" s="12">
        <v>20</v>
      </c>
      <c r="K18" s="12">
        <v>10</v>
      </c>
      <c r="L18" s="12">
        <v>12</v>
      </c>
      <c r="M18" s="12">
        <v>15</v>
      </c>
      <c r="N18" s="12">
        <v>10</v>
      </c>
      <c r="O18" s="12">
        <v>5</v>
      </c>
      <c r="P18" s="9">
        <f t="shared" si="0"/>
      </c>
      <c r="Q18" s="13">
        <f t="shared" si="1"/>
      </c>
      <c r="R18" s="14" t="s">
        <v>280</v>
      </c>
      <c r="S18" s="14" t="s">
        <v>123</v>
      </c>
      <c r="T18" s="16" t="s">
        <v>281</v>
      </c>
      <c r="U18" s="16" t="s">
        <v>98</v>
      </c>
      <c r="V18" s="16" t="s">
        <v>282</v>
      </c>
      <c r="W18" s="17" t="s">
        <v>88</v>
      </c>
      <c r="X18" s="17" t="s">
        <v>89</v>
      </c>
    </row>
    <row customHeight="true" ht="52.38095238095238" r="19">
      <c r="A19" s="18">
        <v>18</v>
      </c>
      <c r="B19" s="19" t="s">
        <v>283</v>
      </c>
      <c r="C19" s="20" t="s">
        <v>284</v>
      </c>
      <c r="D19" s="20" t="s">
        <v>285</v>
      </c>
      <c r="E19" s="19" t="s">
        <v>286</v>
      </c>
      <c r="F19" s="19" t="s">
        <v>287</v>
      </c>
      <c r="G19" s="19" t="s">
        <v>288</v>
      </c>
      <c r="H19" s="19" t="s">
        <v>289</v>
      </c>
      <c r="I19" s="19" t="s">
        <v>290</v>
      </c>
      <c r="J19" s="12">
        <v>9</v>
      </c>
      <c r="K19" s="12">
        <v>19</v>
      </c>
      <c r="L19" s="12">
        <v>15</v>
      </c>
      <c r="M19" s="12">
        <v>15</v>
      </c>
      <c r="N19" s="12">
        <v>7</v>
      </c>
      <c r="O19" s="12">
        <v>5</v>
      </c>
      <c r="P19" s="9">
        <f t="shared" si="0"/>
      </c>
      <c r="Q19" s="13">
        <f t="shared" si="1"/>
      </c>
      <c r="R19" s="14" t="s">
        <v>291</v>
      </c>
      <c r="S19" s="14" t="s">
        <v>123</v>
      </c>
      <c r="T19" s="19" t="s">
        <v>292</v>
      </c>
      <c r="U19" s="19" t="s">
        <v>293</v>
      </c>
      <c r="V19" s="19" t="s">
        <v>294</v>
      </c>
      <c r="W19" s="20" t="s">
        <v>295</v>
      </c>
      <c r="X19" s="20" t="s">
        <v>100</v>
      </c>
    </row>
    <row customHeight="true" ht="52.38095238095238" r="20">
      <c r="A20" s="15">
        <v>19</v>
      </c>
      <c r="B20" s="16" t="s">
        <v>296</v>
      </c>
      <c r="C20" s="17" t="s">
        <v>297</v>
      </c>
      <c r="D20" s="17" t="s">
        <v>298</v>
      </c>
      <c r="E20" s="16" t="s">
        <v>299</v>
      </c>
      <c r="F20" s="16" t="s">
        <v>300</v>
      </c>
      <c r="G20" s="16" t="s">
        <v>301</v>
      </c>
      <c r="H20" s="16" t="s">
        <v>302</v>
      </c>
      <c r="I20" s="16" t="s">
        <v>303</v>
      </c>
      <c r="J20" s="12">
        <v>8</v>
      </c>
      <c r="K20" s="12">
        <v>23</v>
      </c>
      <c r="L20" s="12">
        <v>18</v>
      </c>
      <c r="M20" s="12">
        <v>7</v>
      </c>
      <c r="N20" s="12">
        <v>7</v>
      </c>
      <c r="O20" s="12">
        <v>4</v>
      </c>
      <c r="P20" s="9">
        <f t="shared" si="0"/>
      </c>
      <c r="Q20" s="13">
        <f t="shared" si="1"/>
      </c>
      <c r="R20" s="14" t="s">
        <v>304</v>
      </c>
      <c r="S20" s="14" t="s">
        <v>123</v>
      </c>
      <c r="T20" s="16" t="s">
        <v>305</v>
      </c>
      <c r="U20" s="16" t="s">
        <v>306</v>
      </c>
      <c r="V20" s="16" t="s">
        <v>294</v>
      </c>
      <c r="W20" s="17" t="s">
        <v>295</v>
      </c>
      <c r="X20" s="17" t="s">
        <v>100</v>
      </c>
    </row>
    <row customHeight="true" ht="52.38095238095238" r="21">
      <c r="A21" s="18">
        <v>20</v>
      </c>
      <c r="B21" s="19" t="s">
        <v>307</v>
      </c>
      <c r="C21" s="20" t="s">
        <v>308</v>
      </c>
      <c r="D21" s="20" t="s">
        <v>309</v>
      </c>
      <c r="E21" s="19" t="s">
        <v>310</v>
      </c>
      <c r="F21" s="19" t="s">
        <v>311</v>
      </c>
      <c r="G21" s="19" t="s">
        <v>312</v>
      </c>
      <c r="H21" s="19" t="s">
        <v>313</v>
      </c>
      <c r="I21" s="19" t="s">
        <v>314</v>
      </c>
      <c r="J21" s="12">
        <v>7</v>
      </c>
      <c r="K21" s="12">
        <v>18</v>
      </c>
      <c r="L21" s="12">
        <v>14</v>
      </c>
      <c r="M21" s="12">
        <v>12</v>
      </c>
      <c r="N21" s="12">
        <v>7</v>
      </c>
      <c r="O21" s="12">
        <v>6</v>
      </c>
      <c r="P21" s="9">
        <f t="shared" si="0"/>
      </c>
      <c r="Q21" s="13">
        <f t="shared" si="1"/>
      </c>
      <c r="R21" s="14" t="s">
        <v>315</v>
      </c>
      <c r="S21" s="14" t="s">
        <v>123</v>
      </c>
      <c r="T21" s="19" t="s">
        <v>316</v>
      </c>
      <c r="U21" s="19" t="s">
        <v>317</v>
      </c>
      <c r="V21" s="19" t="s">
        <v>318</v>
      </c>
      <c r="W21" s="20" t="s">
        <v>319</v>
      </c>
      <c r="X21" s="20" t="s">
        <v>89</v>
      </c>
    </row>
    <row customHeight="true" ht="52.38095238095238" r="22">
      <c r="A22" s="15">
        <v>21</v>
      </c>
      <c r="B22" s="16" t="s">
        <v>320</v>
      </c>
      <c r="C22" s="17" t="s">
        <v>321</v>
      </c>
      <c r="D22" s="17" t="s">
        <v>322</v>
      </c>
      <c r="E22" s="16" t="s">
        <v>323</v>
      </c>
      <c r="F22" s="16" t="s">
        <v>324</v>
      </c>
      <c r="G22" s="16" t="s">
        <v>231</v>
      </c>
      <c r="H22" s="16" t="s">
        <v>325</v>
      </c>
      <c r="I22" s="16" t="s">
        <v>326</v>
      </c>
      <c r="J22" s="12">
        <v>9</v>
      </c>
      <c r="K22" s="12">
        <v>20</v>
      </c>
      <c r="L22" s="12">
        <v>14</v>
      </c>
      <c r="M22" s="12">
        <v>6</v>
      </c>
      <c r="N22" s="12">
        <v>6</v>
      </c>
      <c r="O22" s="12">
        <v>4</v>
      </c>
      <c r="P22" s="9">
        <f t="shared" si="0"/>
      </c>
      <c r="Q22" s="13">
        <f t="shared" si="1"/>
      </c>
      <c r="R22" s="14" t="s">
        <v>327</v>
      </c>
      <c r="S22" s="14" t="s">
        <v>328</v>
      </c>
      <c r="T22" s="16" t="s">
        <v>329</v>
      </c>
      <c r="U22" s="16" t="s">
        <v>330</v>
      </c>
      <c r="V22" s="16" t="s">
        <v>294</v>
      </c>
      <c r="W22" s="17" t="s">
        <v>331</v>
      </c>
      <c r="X22" s="17" t="s">
        <v>100</v>
      </c>
    </row>
    <row customHeight="true" ht="52.38095238095238" r="23">
      <c r="A23" s="18">
        <v>22</v>
      </c>
      <c r="B23" s="19" t="s">
        <v>332</v>
      </c>
      <c r="C23" s="20" t="s">
        <v>308</v>
      </c>
      <c r="D23" s="20" t="s">
        <v>333</v>
      </c>
      <c r="E23" s="19" t="s">
        <v>334</v>
      </c>
      <c r="F23" s="19" t="s">
        <v>335</v>
      </c>
      <c r="G23" s="19" t="s">
        <v>336</v>
      </c>
      <c r="H23" s="19" t="s">
        <v>337</v>
      </c>
      <c r="I23" s="19" t="s">
        <v>338</v>
      </c>
      <c r="J23" s="12">
        <v>6</v>
      </c>
      <c r="K23" s="12">
        <v>20</v>
      </c>
      <c r="L23" s="12">
        <v>16</v>
      </c>
      <c r="M23" s="12">
        <v>7</v>
      </c>
      <c r="N23" s="12">
        <v>3</v>
      </c>
      <c r="O23" s="12">
        <v>5</v>
      </c>
      <c r="P23" s="9">
        <f t="shared" si="0"/>
      </c>
      <c r="Q23" s="13">
        <f t="shared" si="1"/>
      </c>
      <c r="R23" s="14" t="s">
        <v>339</v>
      </c>
      <c r="S23" s="14" t="s">
        <v>123</v>
      </c>
      <c r="T23" s="19" t="s">
        <v>340</v>
      </c>
      <c r="U23" s="19" t="s">
        <v>341</v>
      </c>
      <c r="V23" s="19" t="s">
        <v>342</v>
      </c>
      <c r="W23" s="20" t="s">
        <v>319</v>
      </c>
      <c r="X23" s="20" t="s">
        <v>89</v>
      </c>
    </row>
    <row customHeight="true" ht="52.38095238095238" r="24">
      <c r="A24" s="15">
        <v>23</v>
      </c>
      <c r="B24" s="16" t="s">
        <v>343</v>
      </c>
      <c r="C24" s="17" t="s">
        <v>344</v>
      </c>
      <c r="D24" s="17" t="s">
        <v>345</v>
      </c>
      <c r="E24" s="16" t="s">
        <v>346</v>
      </c>
      <c r="F24" s="16" t="s">
        <v>347</v>
      </c>
      <c r="G24" s="16" t="s">
        <v>348</v>
      </c>
      <c r="H24" s="16" t="s">
        <v>349</v>
      </c>
      <c r="I24" s="16" t="s">
        <v>350</v>
      </c>
      <c r="J24" s="12">
        <v>8</v>
      </c>
      <c r="K24" s="12">
        <v>16</v>
      </c>
      <c r="L24" s="12">
        <v>15</v>
      </c>
      <c r="M24" s="12">
        <v>6</v>
      </c>
      <c r="N24" s="12">
        <v>7</v>
      </c>
      <c r="O24" s="12">
        <v>5</v>
      </c>
      <c r="P24" s="9">
        <f t="shared" si="0"/>
      </c>
      <c r="Q24" s="13">
        <f t="shared" si="1"/>
      </c>
      <c r="R24" s="14" t="s">
        <v>351</v>
      </c>
      <c r="S24" s="14" t="s">
        <v>123</v>
      </c>
      <c r="T24" s="16" t="s">
        <v>352</v>
      </c>
      <c r="U24" s="16" t="s">
        <v>353</v>
      </c>
      <c r="V24" s="16" t="s">
        <v>354</v>
      </c>
      <c r="W24" s="17" t="s">
        <v>355</v>
      </c>
      <c r="X24" s="17" t="s">
        <v>100</v>
      </c>
    </row>
    <row customHeight="true" ht="52.38095238095238" r="25">
      <c r="A25" s="18">
        <v>24</v>
      </c>
      <c r="B25" s="19" t="s">
        <v>356</v>
      </c>
      <c r="C25" s="20" t="s">
        <v>357</v>
      </c>
      <c r="D25" s="20" t="s">
        <v>358</v>
      </c>
      <c r="E25" s="19" t="s">
        <v>359</v>
      </c>
      <c r="F25" s="19" t="s">
        <v>360</v>
      </c>
      <c r="G25" s="19" t="s">
        <v>231</v>
      </c>
      <c r="H25" s="19" t="s">
        <v>361</v>
      </c>
      <c r="I25" s="19" t="s">
        <v>362</v>
      </c>
      <c r="J25" s="12">
        <v>5</v>
      </c>
      <c r="K25" s="12">
        <v>22</v>
      </c>
      <c r="L25" s="12">
        <v>14</v>
      </c>
      <c r="M25" s="12">
        <v>5</v>
      </c>
      <c r="N25" s="12">
        <v>4</v>
      </c>
      <c r="O25" s="12">
        <v>3</v>
      </c>
      <c r="P25" s="9">
        <f t="shared" si="0"/>
      </c>
      <c r="Q25" s="13">
        <f t="shared" si="1"/>
      </c>
      <c r="R25" s="14" t="s">
        <v>363</v>
      </c>
      <c r="S25" s="14" t="s">
        <v>328</v>
      </c>
      <c r="T25" s="19" t="s">
        <v>364</v>
      </c>
      <c r="U25" s="19" t="s">
        <v>365</v>
      </c>
      <c r="V25" s="19" t="s">
        <v>294</v>
      </c>
      <c r="W25" s="20" t="s">
        <v>295</v>
      </c>
      <c r="X25" s="20" t="s">
        <v>100</v>
      </c>
    </row>
    <row customHeight="true" ht="52.38095238095238" r="26">
      <c r="A26" s="15">
        <v>25</v>
      </c>
      <c r="B26" s="16" t="s">
        <v>366</v>
      </c>
      <c r="C26" s="17" t="s">
        <v>357</v>
      </c>
      <c r="D26" s="17" t="s">
        <v>367</v>
      </c>
      <c r="E26" s="16" t="s">
        <v>368</v>
      </c>
      <c r="F26" s="16" t="s">
        <v>369</v>
      </c>
      <c r="G26" s="16" t="s">
        <v>231</v>
      </c>
      <c r="H26" s="16" t="s">
        <v>370</v>
      </c>
      <c r="I26" s="16" t="s">
        <v>371</v>
      </c>
      <c r="J26" s="12">
        <v>5</v>
      </c>
      <c r="K26" s="12">
        <v>20</v>
      </c>
      <c r="L26" s="12">
        <v>16</v>
      </c>
      <c r="M26" s="12">
        <v>5</v>
      </c>
      <c r="N26" s="12">
        <v>3</v>
      </c>
      <c r="O26" s="12">
        <v>3</v>
      </c>
      <c r="P26" s="9">
        <f t="shared" si="0"/>
      </c>
      <c r="Q26" s="13">
        <f t="shared" si="1"/>
      </c>
      <c r="R26" s="14" t="s">
        <v>372</v>
      </c>
      <c r="S26" s="14" t="s">
        <v>328</v>
      </c>
      <c r="T26" s="16" t="s">
        <v>373</v>
      </c>
      <c r="U26" s="16" t="s">
        <v>374</v>
      </c>
      <c r="V26" s="16" t="s">
        <v>294</v>
      </c>
      <c r="W26" s="17" t="s">
        <v>295</v>
      </c>
      <c r="X26" s="17" t="s">
        <v>100</v>
      </c>
    </row>
    <row customHeight="true" ht="52.38095238095238" r="27">
      <c r="A27" s="18">
        <v>26</v>
      </c>
      <c r="B27" s="19" t="s">
        <v>375</v>
      </c>
      <c r="C27" s="20" t="s">
        <v>357</v>
      </c>
      <c r="D27" s="20" t="s">
        <v>376</v>
      </c>
      <c r="E27" s="19" t="s">
        <v>377</v>
      </c>
      <c r="F27" s="19" t="s">
        <v>378</v>
      </c>
      <c r="G27" s="19" t="s">
        <v>231</v>
      </c>
      <c r="H27" s="19" t="s">
        <v>379</v>
      </c>
      <c r="I27" s="19" t="s">
        <v>380</v>
      </c>
      <c r="J27" s="12">
        <v>6</v>
      </c>
      <c r="K27" s="12">
        <v>17</v>
      </c>
      <c r="L27" s="12">
        <v>13</v>
      </c>
      <c r="M27" s="12">
        <v>6</v>
      </c>
      <c r="N27" s="12">
        <v>5</v>
      </c>
      <c r="O27" s="12">
        <v>4</v>
      </c>
      <c r="P27" s="9">
        <f t="shared" si="0"/>
      </c>
      <c r="Q27" s="13">
        <f t="shared" si="1"/>
      </c>
      <c r="R27" s="14" t="s">
        <v>381</v>
      </c>
      <c r="S27" s="14" t="s">
        <v>123</v>
      </c>
      <c r="T27" s="19" t="s">
        <v>382</v>
      </c>
      <c r="U27" s="19" t="s">
        <v>383</v>
      </c>
      <c r="V27" s="19" t="s">
        <v>294</v>
      </c>
      <c r="W27" s="20" t="s">
        <v>295</v>
      </c>
      <c r="X27" s="20" t="s">
        <v>100</v>
      </c>
    </row>
    <row customHeight="true" ht="52.38095238095238" r="28">
      <c r="A28" s="15">
        <v>27</v>
      </c>
      <c r="B28" s="16" t="s">
        <v>384</v>
      </c>
      <c r="C28" s="17" t="s">
        <v>385</v>
      </c>
      <c r="D28" s="17" t="s">
        <v>386</v>
      </c>
      <c r="E28" s="16" t="s">
        <v>387</v>
      </c>
      <c r="F28" s="16" t="s">
        <v>388</v>
      </c>
      <c r="G28" s="16" t="s">
        <v>231</v>
      </c>
      <c r="H28" s="16" t="s">
        <v>389</v>
      </c>
      <c r="I28" s="16" t="s">
        <v>390</v>
      </c>
      <c r="J28" s="12">
        <v>6</v>
      </c>
      <c r="K28" s="12">
        <v>18</v>
      </c>
      <c r="L28" s="12">
        <v>16</v>
      </c>
      <c r="M28" s="12">
        <v>5</v>
      </c>
      <c r="N28" s="12">
        <v>2</v>
      </c>
      <c r="O28" s="12">
        <v>3</v>
      </c>
      <c r="P28" s="9">
        <f t="shared" si="0"/>
      </c>
      <c r="Q28" s="13">
        <f t="shared" si="1"/>
      </c>
      <c r="R28" s="14" t="s">
        <v>391</v>
      </c>
      <c r="S28" s="14" t="s">
        <v>328</v>
      </c>
      <c r="T28" s="16" t="s">
        <v>392</v>
      </c>
      <c r="U28" s="16" t="s">
        <v>393</v>
      </c>
      <c r="V28" s="16" t="s">
        <v>294</v>
      </c>
      <c r="W28" s="17" t="s">
        <v>295</v>
      </c>
      <c r="X28" s="17" t="s">
        <v>100</v>
      </c>
    </row>
    <row customHeight="true" ht="52.38095238095238" r="29">
      <c r="A29" s="18">
        <v>28</v>
      </c>
      <c r="B29" s="19" t="s">
        <v>394</v>
      </c>
      <c r="C29" s="20" t="s">
        <v>395</v>
      </c>
      <c r="D29" s="20" t="s">
        <v>396</v>
      </c>
      <c r="E29" s="19" t="s">
        <v>397</v>
      </c>
      <c r="F29" s="19" t="s">
        <v>398</v>
      </c>
      <c r="G29" s="19" t="s">
        <v>399</v>
      </c>
      <c r="H29" s="19" t="s">
        <v>400</v>
      </c>
      <c r="I29" s="19" t="s">
        <v>401</v>
      </c>
      <c r="J29" s="12">
        <v>8</v>
      </c>
      <c r="K29" s="12">
        <v>9</v>
      </c>
      <c r="L29" s="12">
        <v>8</v>
      </c>
      <c r="M29" s="12">
        <v>12</v>
      </c>
      <c r="N29" s="12">
        <v>5</v>
      </c>
      <c r="O29" s="12">
        <v>4</v>
      </c>
      <c r="P29" s="9">
        <f t="shared" si="0"/>
      </c>
      <c r="Q29" s="13">
        <f t="shared" si="1"/>
      </c>
      <c r="R29" s="14" t="s">
        <v>402</v>
      </c>
      <c r="S29" s="14" t="s">
        <v>403</v>
      </c>
      <c r="T29" s="19" t="s">
        <v>404</v>
      </c>
      <c r="U29" s="19" t="s">
        <v>405</v>
      </c>
      <c r="V29" s="19" t="s">
        <v>294</v>
      </c>
      <c r="W29" s="20" t="s">
        <v>295</v>
      </c>
      <c r="X29" s="20" t="s">
        <v>100</v>
      </c>
    </row>
    <row customHeight="true" ht="52.38095238095238" r="30">
      <c r="A30" s="15">
        <v>29</v>
      </c>
      <c r="B30" s="16" t="s">
        <v>406</v>
      </c>
      <c r="C30" s="17" t="s">
        <v>407</v>
      </c>
      <c r="D30" s="17" t="s">
        <v>408</v>
      </c>
      <c r="E30" s="16" t="s">
        <v>409</v>
      </c>
      <c r="F30" s="16" t="s">
        <v>410</v>
      </c>
      <c r="G30" s="16" t="s">
        <v>231</v>
      </c>
      <c r="H30" s="16" t="s">
        <v>411</v>
      </c>
      <c r="I30" s="16" t="s">
        <v>412</v>
      </c>
      <c r="J30" s="12">
        <v>8</v>
      </c>
      <c r="K30" s="12">
        <v>13</v>
      </c>
      <c r="L30" s="12">
        <v>10</v>
      </c>
      <c r="M30" s="12">
        <v>5</v>
      </c>
      <c r="N30" s="12">
        <v>4</v>
      </c>
      <c r="O30" s="12">
        <v>4</v>
      </c>
      <c r="P30" s="9">
        <f t="shared" si="0"/>
      </c>
      <c r="Q30" s="13">
        <f t="shared" si="1"/>
      </c>
      <c r="R30" s="14" t="s">
        <v>413</v>
      </c>
      <c r="S30" s="14" t="s">
        <v>123</v>
      </c>
      <c r="T30" s="16" t="s">
        <v>414</v>
      </c>
      <c r="U30" s="16" t="s">
        <v>415</v>
      </c>
      <c r="V30" s="16" t="s">
        <v>294</v>
      </c>
      <c r="W30" s="17" t="s">
        <v>295</v>
      </c>
      <c r="X30" s="17" t="s">
        <v>100</v>
      </c>
    </row>
    <row customHeight="true" ht="52.38095238095238" r="31">
      <c r="A31" s="18">
        <v>30</v>
      </c>
      <c r="B31" s="19" t="s">
        <v>416</v>
      </c>
      <c r="C31" s="20" t="s">
        <v>407</v>
      </c>
      <c r="D31" s="20" t="s">
        <v>417</v>
      </c>
      <c r="E31" s="19" t="s">
        <v>418</v>
      </c>
      <c r="F31" s="19" t="s">
        <v>419</v>
      </c>
      <c r="G31" s="19" t="s">
        <v>231</v>
      </c>
      <c r="H31" s="19" t="s">
        <v>420</v>
      </c>
      <c r="I31" s="19" t="s">
        <v>421</v>
      </c>
      <c r="J31" s="12">
        <v>8</v>
      </c>
      <c r="K31" s="12">
        <v>11</v>
      </c>
      <c r="L31" s="12">
        <v>9</v>
      </c>
      <c r="M31" s="12">
        <v>5</v>
      </c>
      <c r="N31" s="12">
        <v>4</v>
      </c>
      <c r="O31" s="12">
        <v>4</v>
      </c>
      <c r="P31" s="9">
        <f t="shared" si="0"/>
      </c>
      <c r="Q31" s="13">
        <f t="shared" si="1"/>
      </c>
      <c r="R31" s="14" t="s">
        <v>422</v>
      </c>
      <c r="S31" s="14" t="s">
        <v>123</v>
      </c>
      <c r="T31" s="19" t="s">
        <v>423</v>
      </c>
      <c r="U31" s="19" t="s">
        <v>415</v>
      </c>
      <c r="V31" s="19" t="s">
        <v>294</v>
      </c>
      <c r="W31" s="20" t="s">
        <v>295</v>
      </c>
      <c r="X31" s="20" t="s">
        <v>100</v>
      </c>
    </row>
    <row customHeight="true" ht="52.38095238095238" r="32">
      <c r="A32" s="15">
        <v>31</v>
      </c>
      <c r="B32" s="16" t="s">
        <v>424</v>
      </c>
      <c r="C32" s="17" t="s">
        <v>407</v>
      </c>
      <c r="D32" s="17" t="s">
        <v>425</v>
      </c>
      <c r="E32" s="16" t="s">
        <v>418</v>
      </c>
      <c r="F32" s="16" t="s">
        <v>426</v>
      </c>
      <c r="G32" s="16" t="s">
        <v>231</v>
      </c>
      <c r="H32" s="16" t="s">
        <v>427</v>
      </c>
      <c r="I32" s="16" t="s">
        <v>421</v>
      </c>
      <c r="J32" s="12">
        <v>8</v>
      </c>
      <c r="K32" s="12">
        <v>10</v>
      </c>
      <c r="L32" s="12">
        <v>8</v>
      </c>
      <c r="M32" s="12">
        <v>5</v>
      </c>
      <c r="N32" s="12">
        <v>4</v>
      </c>
      <c r="O32" s="12">
        <v>4</v>
      </c>
      <c r="P32" s="9">
        <f t="shared" si="0"/>
      </c>
      <c r="Q32" s="13">
        <f t="shared" si="1"/>
      </c>
      <c r="R32" s="14" t="s">
        <v>428</v>
      </c>
      <c r="S32" s="14" t="s">
        <v>123</v>
      </c>
      <c r="T32" s="16" t="s">
        <v>429</v>
      </c>
      <c r="U32" s="16" t="s">
        <v>415</v>
      </c>
      <c r="V32" s="16" t="s">
        <v>294</v>
      </c>
      <c r="W32" s="17" t="s">
        <v>295</v>
      </c>
      <c r="X32" s="17" t="s">
        <v>100</v>
      </c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C1" xSplit="2"/>
    </sheetView>
  </sheetViews>
  <sheetFormatPr defaultRowHeight="0"/>
  <cols>
    <col collapsed="false" customWidth="true" hidden="false" max="10" min="10" style="0" width="12.901408450704226"/>
    <col collapsed="false" customWidth="true" hidden="false" max="2" min="2" style="0" width="27.549295774647888"/>
    <col collapsed="false" customWidth="true" hidden="false" max="4" min="4" style="0" width="25.295774647887324"/>
    <col collapsed="false" customWidth="true" hidden="false" max="6" min="6" style="0" width="36.563380281690144"/>
    <col collapsed="false" customWidth="true" hidden="false" max="8" min="8" style="0" width="20.788732394366196"/>
    <col collapsed="false" customWidth="true" hidden="false" max="9" min="9" style="0" width="33.183098591549296"/>
    <col collapsed="false" customWidth="true" hidden="false" max="1" min="1" style="0" width="6.704225352112676"/>
    <col collapsed="false" customWidth="true" hidden="false" max="3" min="3" style="0" width="28.676056338028168"/>
    <col collapsed="false" customWidth="true" hidden="false" max="5" min="5" style="0" width="21.91549295774648"/>
    <col collapsed="false" customWidth="true" hidden="false" max="7" min="7" style="0" width="18.535211267605632"/>
  </cols>
  <sheetData>
    <row customHeight="true" ht="26.78571428571429" r="1">
      <c r="A1" s="21" t="s">
        <v>430</v>
      </c>
      <c r="B1" s="21" t="s">
        <v>431</v>
      </c>
      <c r="C1" s="21" t="s">
        <v>432</v>
      </c>
      <c r="D1" s="21" t="s">
        <v>433</v>
      </c>
      <c r="E1" s="21" t="s">
        <v>434</v>
      </c>
      <c r="F1" s="21" t="s">
        <v>435</v>
      </c>
      <c r="G1" s="21" t="s">
        <v>436</v>
      </c>
      <c r="H1" s="21" t="s">
        <v>437</v>
      </c>
      <c r="I1" s="21" t="s">
        <v>438</v>
      </c>
      <c r="J1" s="21" t="s">
        <v>439</v>
      </c>
    </row>
    <row customHeight="true" ht="54.761904761904766" r="2">
      <c r="A2" s="22" t="s">
        <v>440</v>
      </c>
      <c r="B2" s="23" t="s">
        <v>441</v>
      </c>
      <c r="C2" s="23" t="s">
        <v>442</v>
      </c>
      <c r="D2" s="23" t="s">
        <v>443</v>
      </c>
      <c r="E2" s="23" t="s">
        <v>444</v>
      </c>
      <c r="F2" s="23" t="s">
        <v>445</v>
      </c>
      <c r="G2" s="23" t="s">
        <v>446</v>
      </c>
      <c r="H2" s="23" t="s">
        <v>447</v>
      </c>
      <c r="I2" s="24" t="s">
        <v>448</v>
      </c>
      <c r="J2" s="22" t="s">
        <v>449</v>
      </c>
    </row>
    <row customHeight="true" ht="54.761904761904766" r="3">
      <c r="A3" s="22" t="s">
        <v>450</v>
      </c>
      <c r="B3" s="23" t="s">
        <v>451</v>
      </c>
      <c r="C3" s="23" t="s">
        <v>452</v>
      </c>
      <c r="D3" s="23" t="s">
        <v>453</v>
      </c>
      <c r="E3" s="23" t="s">
        <v>454</v>
      </c>
      <c r="F3" s="23" t="s">
        <v>455</v>
      </c>
      <c r="G3" s="23" t="s">
        <v>456</v>
      </c>
      <c r="H3" s="23" t="s">
        <v>457</v>
      </c>
      <c r="I3" s="24" t="s">
        <v>458</v>
      </c>
      <c r="J3" s="22" t="s">
        <v>449</v>
      </c>
    </row>
    <row customHeight="true" ht="54.761904761904766" r="4">
      <c r="A4" s="25" t="s">
        <v>459</v>
      </c>
      <c r="B4" s="26" t="s">
        <v>460</v>
      </c>
      <c r="C4" s="26" t="s">
        <v>461</v>
      </c>
      <c r="D4" s="26" t="s">
        <v>462</v>
      </c>
      <c r="E4" s="26" t="s">
        <v>463</v>
      </c>
      <c r="F4" s="26" t="s">
        <v>464</v>
      </c>
      <c r="G4" s="26" t="s">
        <v>465</v>
      </c>
      <c r="H4" s="26" t="s">
        <v>466</v>
      </c>
      <c r="I4" s="26" t="s">
        <v>467</v>
      </c>
      <c r="J4" s="25" t="s">
        <v>468</v>
      </c>
    </row>
    <row customHeight="true" ht="54.761904761904766" r="5">
      <c r="A5" s="25" t="s">
        <v>469</v>
      </c>
      <c r="B5" s="26" t="s">
        <v>470</v>
      </c>
      <c r="C5" s="26" t="s">
        <v>471</v>
      </c>
      <c r="D5" s="26" t="s">
        <v>472</v>
      </c>
      <c r="E5" s="26" t="s">
        <v>473</v>
      </c>
      <c r="F5" s="26" t="s">
        <v>474</v>
      </c>
      <c r="G5" s="26" t="s">
        <v>475</v>
      </c>
      <c r="H5" s="26" t="s">
        <v>476</v>
      </c>
      <c r="I5" s="26" t="s">
        <v>477</v>
      </c>
      <c r="J5" s="25" t="s">
        <v>478</v>
      </c>
    </row>
    <row customHeight="true" ht="54.761904761904766" r="6">
      <c r="A6" s="25" t="s">
        <v>479</v>
      </c>
      <c r="B6" s="26" t="s">
        <v>480</v>
      </c>
      <c r="C6" s="26" t="s">
        <v>481</v>
      </c>
      <c r="D6" s="26" t="s">
        <v>482</v>
      </c>
      <c r="E6" s="26" t="s">
        <v>483</v>
      </c>
      <c r="F6" s="26" t="s">
        <v>484</v>
      </c>
      <c r="G6" s="26" t="s">
        <v>485</v>
      </c>
      <c r="H6" s="26" t="s">
        <v>486</v>
      </c>
      <c r="I6" s="26" t="s">
        <v>487</v>
      </c>
      <c r="J6" s="25" t="s">
        <v>488</v>
      </c>
    </row>
    <row customHeight="true" ht="54.761904761904766" r="7">
      <c r="A7" s="27" t="s">
        <v>489</v>
      </c>
      <c r="B7" s="28" t="s">
        <v>490</v>
      </c>
      <c r="C7" s="28" t="s">
        <v>491</v>
      </c>
      <c r="D7" s="28" t="s">
        <v>492</v>
      </c>
      <c r="E7" s="28" t="s">
        <v>493</v>
      </c>
      <c r="F7" s="28" t="s">
        <v>494</v>
      </c>
      <c r="G7" s="28" t="s">
        <v>495</v>
      </c>
      <c r="H7" s="28" t="s">
        <v>496</v>
      </c>
      <c r="I7" s="28" t="s">
        <v>497</v>
      </c>
      <c r="J7" s="27" t="s">
        <v>498</v>
      </c>
    </row>
    <row customHeight="true" ht="54.761904761904766" r="8">
      <c r="A8" s="27" t="s">
        <v>499</v>
      </c>
      <c r="B8" s="28" t="s">
        <v>500</v>
      </c>
      <c r="C8" s="28" t="s">
        <v>501</v>
      </c>
      <c r="D8" s="28" t="s">
        <v>502</v>
      </c>
      <c r="E8" s="28" t="s">
        <v>503</v>
      </c>
      <c r="F8" s="28" t="s">
        <v>504</v>
      </c>
      <c r="G8" s="28" t="s">
        <v>505</v>
      </c>
      <c r="H8" s="28" t="s">
        <v>506</v>
      </c>
      <c r="I8" s="28" t="s">
        <v>507</v>
      </c>
      <c r="J8" s="27" t="s">
        <v>498</v>
      </c>
    </row>
    <row customHeight="true" ht="54.761904761904766" r="9">
      <c r="A9" s="27" t="s">
        <v>508</v>
      </c>
      <c r="B9" s="28" t="s">
        <v>509</v>
      </c>
      <c r="C9" s="28" t="s">
        <v>510</v>
      </c>
      <c r="D9" s="28" t="s">
        <v>511</v>
      </c>
      <c r="E9" s="28" t="s">
        <v>512</v>
      </c>
      <c r="F9" s="28" t="s">
        <v>513</v>
      </c>
      <c r="G9" s="28" t="s">
        <v>514</v>
      </c>
      <c r="H9" s="28" t="s">
        <v>515</v>
      </c>
      <c r="I9" s="28" t="s">
        <v>516</v>
      </c>
      <c r="J9" s="27" t="s">
        <v>517</v>
      </c>
    </row>
    <row customHeight="true" ht="54.761904761904766" r="10">
      <c r="A10" s="27" t="s">
        <v>518</v>
      </c>
      <c r="B10" s="28" t="s">
        <v>519</v>
      </c>
      <c r="C10" s="28" t="s">
        <v>520</v>
      </c>
      <c r="D10" s="28" t="s">
        <v>521</v>
      </c>
      <c r="E10" s="28" t="s">
        <v>522</v>
      </c>
      <c r="F10" s="28" t="s">
        <v>523</v>
      </c>
      <c r="G10" s="28" t="s">
        <v>524</v>
      </c>
      <c r="H10" s="28" t="s">
        <v>525</v>
      </c>
      <c r="I10" s="28" t="s">
        <v>526</v>
      </c>
      <c r="J10" s="27" t="s">
        <v>527</v>
      </c>
    </row>
    <row customHeight="true" ht="54.761904761904766" r="11">
      <c r="A11" s="27" t="s">
        <v>528</v>
      </c>
      <c r="B11" s="28" t="s">
        <v>529</v>
      </c>
      <c r="C11" s="28" t="s">
        <v>530</v>
      </c>
      <c r="D11" s="28" t="s">
        <v>531</v>
      </c>
      <c r="E11" s="28" t="s">
        <v>532</v>
      </c>
      <c r="F11" s="28" t="s">
        <v>533</v>
      </c>
      <c r="G11" s="28" t="s">
        <v>534</v>
      </c>
      <c r="H11" s="28" t="s">
        <v>535</v>
      </c>
      <c r="I11" s="28" t="s">
        <v>536</v>
      </c>
      <c r="J11" s="27" t="s">
        <v>537</v>
      </c>
    </row>
  </sheetData>
  <hyperlinks>
    <hyperlink ref="I2" display="https://jxgz.cuc.edu.cn/2026/0604/c7772a271339/page.htm" r:id="rId1"/>
    <hyperlink ref="I3" display="https://jxjy.cuc.edu.cn/2026/0717/c13404a272813/page.htm" r:id="rId2"/>
  </hyperlinks>
  <picture r:id="rId3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0"/>
  <cols>
    <col collapsed="false" customWidth="true" hidden="false" max="1" min="1" style="0" width="19.661971830985916"/>
    <col collapsed="false" customWidth="true" hidden="false" max="2" min="2" style="0" width="10.647887323943662"/>
    <col collapsed="false" customWidth="true" hidden="false" max="3" min="3" style="0" width="39.943661971830984"/>
    <col collapsed="false" customWidth="true" hidden="false" max="4" min="4" style="0" width="46.70422535211268"/>
  </cols>
  <sheetData>
    <row customHeight="true" ht="25" r="1">
      <c r="A1" s="29" t="s">
        <v>538</v>
      </c>
      <c r="B1" s="29" t="s">
        <v>539</v>
      </c>
      <c r="C1" s="29" t="s">
        <v>540</v>
      </c>
      <c r="D1" s="29" t="s">
        <v>541</v>
      </c>
    </row>
    <row customHeight="true" ht="40.476190476190474" r="2">
      <c r="A2" s="30" t="s">
        <v>542</v>
      </c>
      <c r="B2" s="31" t="s">
        <v>543</v>
      </c>
      <c r="C2" s="31" t="s">
        <v>544</v>
      </c>
      <c r="D2" s="31" t="s">
        <v>545</v>
      </c>
    </row>
    <row customHeight="true" ht="40.476190476190474" r="3">
      <c r="A3" s="32" t="s">
        <v>546</v>
      </c>
      <c r="B3" s="33" t="s">
        <v>547</v>
      </c>
      <c r="C3" s="33" t="s">
        <v>548</v>
      </c>
      <c r="D3" s="33" t="s">
        <v>549</v>
      </c>
    </row>
    <row customHeight="true" ht="40.476190476190474" r="4">
      <c r="A4" s="30" t="s">
        <v>550</v>
      </c>
      <c r="B4" s="31" t="s">
        <v>543</v>
      </c>
      <c r="C4" s="31" t="s">
        <v>551</v>
      </c>
      <c r="D4" s="31" t="s">
        <v>552</v>
      </c>
    </row>
    <row customHeight="true" ht="40.476190476190474" r="5">
      <c r="A5" s="32" t="s">
        <v>553</v>
      </c>
      <c r="B5" s="33" t="s">
        <v>554</v>
      </c>
      <c r="C5" s="33" t="s">
        <v>555</v>
      </c>
      <c r="D5" s="33" t="s">
        <v>556</v>
      </c>
    </row>
    <row customHeight="true" ht="40.476190476190474" r="6">
      <c r="A6" s="30" t="s">
        <v>557</v>
      </c>
      <c r="B6" s="31" t="s">
        <v>558</v>
      </c>
      <c r="C6" s="31" t="s">
        <v>559</v>
      </c>
      <c r="D6" s="31" t="s">
        <v>560</v>
      </c>
    </row>
    <row customHeight="true" ht="40.476190476190474" r="7">
      <c r="A7" s="32" t="s">
        <v>561</v>
      </c>
      <c r="B7" s="33" t="s">
        <v>558</v>
      </c>
      <c r="C7" s="33" t="s">
        <v>562</v>
      </c>
      <c r="D7" s="33" t="s">
        <v>563</v>
      </c>
    </row>
    <row customHeight="true" ht="40.476190476190474" r="8">
      <c r="A8" s="30" t="s">
        <v>564</v>
      </c>
      <c r="B8" s="31" t="s">
        <v>565</v>
      </c>
      <c r="C8" s="31" t="s">
        <v>566</v>
      </c>
      <c r="D8" s="31" t="s">
        <v>567</v>
      </c>
    </row>
    <row customHeight="true" ht="40.476190476190474" r="9">
      <c r="A9" s="32" t="s">
        <v>568</v>
      </c>
      <c r="B9" s="33" t="s">
        <v>569</v>
      </c>
      <c r="C9" s="33" t="s">
        <v>570</v>
      </c>
      <c r="D9" s="33" t="s">
        <v>571</v>
      </c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