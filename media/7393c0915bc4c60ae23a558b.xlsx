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北京岗位JD库"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0" fontId="2" fillId="0" borderId="0" xfId="0" applyFont="true" applyAlignment="false">
      <alignment/>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0" customWidth="1"/>
  </cols>
  <sheetData>
    <row r="1" ht="13" customHeight="1">
      <c r="A1" s="1" t="inlineStr">
        <is>
          <t>岗位名称</t>
        </is>
      </c>
      <c r="B1" s="1" t="inlineStr">
        <is>
          <t>公司</t>
        </is>
      </c>
      <c r="C1" s="1" t="inlineStr">
        <is>
          <t>岗位类别</t>
        </is>
      </c>
      <c r="D1" s="1" t="inlineStr">
        <is>
          <t>薪资原文</t>
        </is>
      </c>
      <c r="E1" s="1" t="inlineStr">
        <is>
          <t>月薪下限K</t>
        </is>
      </c>
      <c r="F1" s="1" t="inlineStr">
        <is>
          <t>月薪上限K</t>
        </is>
      </c>
      <c r="G1" s="1" t="inlineStr">
        <is>
          <t>城市/区域</t>
        </is>
      </c>
      <c r="H1" s="1" t="inlineStr">
        <is>
          <t>经验</t>
        </is>
      </c>
      <c r="I1" s="1" t="inlineStr">
        <is>
          <t>学历</t>
        </is>
      </c>
      <c r="J1" s="1" t="inlineStr">
        <is>
          <t>公司行业</t>
        </is>
      </c>
      <c r="K1" s="1" t="inlineStr">
        <is>
          <t>融资阶段</t>
        </is>
      </c>
      <c r="L1" s="1" t="inlineStr">
        <is>
          <t>公司规模</t>
        </is>
      </c>
      <c r="M1" s="1" t="inlineStr">
        <is>
          <t>岗位职责</t>
        </is>
      </c>
      <c r="N1" s="1" t="inlineStr">
        <is>
          <t>任职要求</t>
        </is>
      </c>
      <c r="O1" s="1" t="inlineStr">
        <is>
          <t>加分项</t>
        </is>
      </c>
      <c r="P1" s="1" t="inlineStr">
        <is>
          <t>工具/技能</t>
        </is>
      </c>
      <c r="Q1" s="1" t="inlineStr">
        <is>
          <t>JD原文</t>
        </is>
      </c>
      <c r="R1" s="1" t="inlineStr">
        <is>
          <t>来源链接</t>
        </is>
      </c>
      <c r="S1" s="1" t="inlineStr">
        <is>
          <t>采集日期</t>
        </is>
      </c>
      <c r="T1" s="1" t="inlineStr">
        <is>
          <t>来源说明</t>
        </is>
      </c>
    </row>
    <row r="2" ht="25.5" customHeight="1">
      <c r="A2" t="inlineStr">
        <is>
          <t>AI 抽卡师 / AIGC 视频制作</t>
        </is>
      </c>
      <c r="B2" t="inlineStr">
        <is>
          <t>中视科华技术服务公司</t>
        </is>
      </c>
      <c r="C2" t="inlineStr">
        <is>
          <t>AI视频/AIGC制作</t>
        </is>
      </c>
      <c r="D2" t="inlineStr">
        <is>
          <t>10-12K</t>
        </is>
      </c>
      <c r="E2">
        <v>10</v>
      </c>
      <c r="F2">
        <v>12</v>
      </c>
      <c r="G2" t="inlineStr">
        <is>
          <t>北京朝阳区望京</t>
        </is>
      </c>
      <c r="H2" t="inlineStr">
        <is>
          <t>1-3年</t>
        </is>
      </c>
      <c r="I2" t="inlineStr">
        <is>
          <t>本科</t>
        </is>
      </c>
      <c r="J2" t="inlineStr">
        <is>
          <t>广播/影视</t>
        </is>
      </c>
      <c r="K2" t="inlineStr">
        <is>
          <t>未融资</t>
        </is>
      </c>
      <c r="L2" t="inlineStr">
        <is>
          <t>1000-9999人</t>
        </is>
      </c>
      <c r="M2" t="inlineStr">
        <is>
          <t>按业务需求生成连贯视频；把控画面质感、镜头语言和动态流畅度；完成后期合成。</t>
        </is>
      </c>
      <c r="N2" t="inlineStr">
        <is>
          <t>具备AIGC视频生成和后期制作经验，能独立判断成片质量。</t>
        </is>
      </c>
      <c r="O2" t="inlineStr">
        <is>
          <t>影视镜头感与动效经验。</t>
        </is>
      </c>
      <c r="P2" t="inlineStr">
        <is>
          <t>AIGC, AE, Premiere, 剪映</t>
        </is>
      </c>
      <c r="Q2" t="inlineStr">
        <is>
          <t>公开页显示该岗位覆盖AI生成、质量把控与后期剪辑。</t>
        </is>
      </c>
      <c r="R2" s="2" t="str">
        <f>=HYPERLINK("https://www.zhipin.com/zhaopin/47d1c60e9d9478af0nB_3tq_Eg~~/", "https://www.zhipin.com/zhaopin/47d1c60e9d9478af0nB_3tq_Eg~~/")</f>
        <v>https://www.zhipin.com/zhaopin/47d1c60e9d9478af0nB_3tq_Eg~~/</v>
      </c>
      <c r="S2" s="3">
        <v>46263</v>
      </c>
      <c r="T2" t="inlineStr">
        <is>
          <t>Boss公开列表页摘要；详情页受安全验证限制，内容已结构化归纳。</t>
        </is>
      </c>
    </row>
    <row r="3" ht="25.5" customHeight="1">
      <c r="A3" t="inlineStr">
        <is>
          <t>AI视频制作</t>
        </is>
      </c>
      <c r="B3" t="inlineStr">
        <is>
          <t>东方倍力</t>
        </is>
      </c>
      <c r="C3" t="inlineStr">
        <is>
          <t>AI视频/AIGC制作</t>
        </is>
      </c>
      <c r="D3" t="inlineStr">
        <is>
          <t>7-10K</t>
        </is>
      </c>
      <c r="E3">
        <v>7</v>
      </c>
      <c r="F3">
        <v>10</v>
      </c>
      <c r="G3" t="inlineStr">
        <is>
          <t>北京朝阳区大郊亭</t>
        </is>
      </c>
      <c r="H3" t="inlineStr">
        <is>
          <t>1-3年</t>
        </is>
      </c>
      <c r="I3" t="inlineStr">
        <is>
          <t>本科</t>
        </is>
      </c>
      <c r="J3" t="inlineStr">
        <is>
          <t>医疗健康</t>
        </is>
      </c>
      <c r="K3" t="inlineStr">
        <is>
          <t>不需要融资</t>
        </is>
      </c>
      <c r="L3" t="inlineStr">
        <is>
          <t>20-99人</t>
        </is>
      </c>
      <c r="M3" t="inlineStr">
        <is>
          <t>负责广告类AI视频全流程制作，并持续测试、迭代生成模型和制作方法。</t>
        </is>
      </c>
      <c r="N3" t="inlineStr">
        <is>
          <t>熟悉多类AI模型工具；有广告制作经验。</t>
        </is>
      </c>
      <c r="O3" t="inlineStr">
        <is>
          <t>广告创意或TVC经验优先。</t>
        </is>
      </c>
      <c r="P3" t="inlineStr">
        <is>
          <t>AI视频模型, 图像生成, 剪辑</t>
        </is>
      </c>
      <c r="Q3" t="inlineStr">
        <is>
          <t>岗位明确偏AI广告视频，不是短剧岗位。</t>
        </is>
      </c>
      <c r="R3" s="2" t="str">
        <f>=HYPERLINK("https://www.zhipin.com/zhaopin/47d1c60e9d9478af0nB_3tq_Eg~~/", "https://www.zhipin.com/zhaopin/47d1c60e9d9478af0nB_3tq_Eg~~/")</f>
        <v>https://www.zhipin.com/zhaopin/47d1c60e9d9478af0nB_3tq_Eg~~/</v>
      </c>
      <c r="S3" s="3">
        <v>46263</v>
      </c>
      <c r="T3" t="inlineStr">
        <is>
          <t>Boss公开列表页摘要；详情页受安全验证限制，内容已结构化归纳。</t>
        </is>
      </c>
    </row>
    <row r="4" ht="25.5" customHeight="1">
      <c r="A4" t="inlineStr">
        <is>
          <t>AI视频制作</t>
        </is>
      </c>
      <c r="B4" t="inlineStr">
        <is>
          <t>新正影业</t>
        </is>
      </c>
      <c r="C4" t="inlineStr">
        <is>
          <t>AI漫剧制作</t>
        </is>
      </c>
      <c r="D4" t="inlineStr">
        <is>
          <t>4-9K</t>
        </is>
      </c>
      <c r="E4">
        <v>4</v>
      </c>
      <c r="F4">
        <v>9</v>
      </c>
      <c r="G4" t="inlineStr">
        <is>
          <t>北京朝阳区东坝</t>
        </is>
      </c>
      <c r="H4" t="inlineStr">
        <is>
          <t>经验不限</t>
        </is>
      </c>
      <c r="I4" t="inlineStr">
        <is>
          <t>学历不限</t>
        </is>
      </c>
      <c r="J4" t="inlineStr">
        <is>
          <t>文化艺术/娱乐</t>
        </is>
      </c>
      <c r="K4" t="inlineStr">
        <is>
          <t>未融资</t>
        </is>
      </c>
      <c r="L4" t="inlineStr">
        <is>
          <t>0-20人</t>
        </is>
      </c>
      <c r="M4" t="inlineStr">
        <is>
          <t>使用AI生成和优化图片，按精品漫剧标准完成视频生成、剪辑和后期处理。</t>
        </is>
      </c>
      <c r="N4" t="inlineStr">
        <is>
          <t>能保证人物、画面和视频连贯性；可独立完成基础后期。</t>
        </is>
      </c>
      <c r="O4" t="inlineStr">
        <is>
          <t>有精品漫剧作品。</t>
        </is>
      </c>
      <c r="P4" t="inlineStr">
        <is>
          <t>AI绘图, AI视频, 剪辑</t>
        </is>
      </c>
      <c r="Q4" t="inlineStr">
        <is>
          <t>岗位面向精品漫剧画面生成与成片制作。</t>
        </is>
      </c>
      <c r="R4" s="2" t="str">
        <f>=HYPERLINK("https://www.zhipin.com/zhaopin/47d1c60e9d9478af0nB_3tq_Eg~~/", "https://www.zhipin.com/zhaopin/47d1c60e9d9478af0nB_3tq_Eg~~/")</f>
        <v>https://www.zhipin.com/zhaopin/47d1c60e9d9478af0nB_3tq_Eg~~/</v>
      </c>
      <c r="S4" s="3">
        <v>46263</v>
      </c>
      <c r="T4" t="inlineStr">
        <is>
          <t>Boss公开列表页摘要；详情页受安全验证限制，内容已结构化归纳。</t>
        </is>
      </c>
    </row>
    <row r="5" ht="25.5" customHeight="1">
      <c r="A5" t="inlineStr">
        <is>
          <t>AIGC视频制作</t>
        </is>
      </c>
      <c r="B5" t="inlineStr">
        <is>
          <t>北京光循花火影游科技</t>
        </is>
      </c>
      <c r="C5" t="inlineStr">
        <is>
          <t>AI视频/AIGC制作</t>
        </is>
      </c>
      <c r="D5" t="inlineStr">
        <is>
          <t>8-12K</t>
        </is>
      </c>
      <c r="E5">
        <v>8</v>
      </c>
      <c r="F5">
        <v>12</v>
      </c>
      <c r="G5" t="inlineStr">
        <is>
          <t>北京</t>
        </is>
      </c>
      <c r="H5" t="inlineStr">
        <is>
          <t>3-5年</t>
        </is>
      </c>
      <c r="I5" t="inlineStr">
        <is>
          <t>本科</t>
        </is>
      </c>
      <c r="J5" t="inlineStr">
        <is>
          <t>广播/影视</t>
        </is>
      </c>
      <c r="K5" t="inlineStr">
        <is>
          <t>页面未展示</t>
        </is>
      </c>
      <c r="L5" t="inlineStr">
        <is>
          <t>100-499人</t>
        </is>
      </c>
      <c r="M5" t="inlineStr">
        <is>
          <t>制作约1分钟的国学经典主题AI动画短剧，将传统文化内容转为可视化叙事。</t>
        </is>
      </c>
      <c r="N5" t="inlineStr">
        <is>
          <t>具备动画或视频全流程经验，能把文字内容转成镜头和画面。</t>
        </is>
      </c>
      <c r="O5" t="inlineStr">
        <is>
          <t>传统文化、国学内容理解力。</t>
        </is>
      </c>
      <c r="P5" t="inlineStr">
        <is>
          <t>AIGC动画, 分镜, 剪辑</t>
        </is>
      </c>
      <c r="Q5" t="inlineStr">
        <is>
          <t>内容方向为国学经典AI动画短剧。</t>
        </is>
      </c>
      <c r="R5" s="2" t="str">
        <f>=HYPERLINK("https://www.zhipin.com/zhaopin/47d1c60e9d9478af0nB_3tq_Eg~~/", "https://www.zhipin.com/zhaopin/47d1c60e9d9478af0nB_3tq_Eg~~/")</f>
        <v>https://www.zhipin.com/zhaopin/47d1c60e9d9478af0nB_3tq_Eg~~/</v>
      </c>
      <c r="S5" s="3">
        <v>46263</v>
      </c>
      <c r="T5" t="inlineStr">
        <is>
          <t>Boss公开列表页摘要；详情页受安全验证限制，内容已结构化归纳。</t>
        </is>
      </c>
    </row>
    <row r="6" ht="25.5" customHeight="1">
      <c r="A6" t="inlineStr">
        <is>
          <t>AIGC视频制作</t>
        </is>
      </c>
      <c r="B6" t="inlineStr">
        <is>
          <t>北京闫王传媒有限公司</t>
        </is>
      </c>
      <c r="C6" t="inlineStr">
        <is>
          <t>AI视频/AIGC制作</t>
        </is>
      </c>
      <c r="D6" t="inlineStr">
        <is>
          <t>12-24K</t>
        </is>
      </c>
      <c r="E6">
        <v>12</v>
      </c>
      <c r="F6">
        <v>24</v>
      </c>
      <c r="G6" t="inlineStr">
        <is>
          <t>北京朝阳区豆各庄</t>
        </is>
      </c>
      <c r="H6" t="inlineStr">
        <is>
          <t>1-3年</t>
        </is>
      </c>
      <c r="I6" t="inlineStr">
        <is>
          <t>本科</t>
        </is>
      </c>
      <c r="J6" t="inlineStr">
        <is>
          <t>文化艺术/娱乐</t>
        </is>
      </c>
      <c r="K6" t="inlineStr">
        <is>
          <t>页面未展示</t>
        </is>
      </c>
      <c r="L6" t="inlineStr">
        <is>
          <t>20-99人</t>
        </is>
      </c>
      <c r="M6" t="inlineStr">
        <is>
          <t>主导AI创意视频素材项目，搭建并优化从图像到视频的生成工作流，持续探索新方案。</t>
        </is>
      </c>
      <c r="N6" t="inlineStr">
        <is>
          <t>能在创意与技术两端推进项目，熟悉多模态生成链路。</t>
        </is>
      </c>
      <c r="O6" t="inlineStr">
        <is>
          <t>有工作流研发、商业素材创新案例。</t>
        </is>
      </c>
      <c r="P6" t="inlineStr">
        <is>
          <t>文生图, 图生图, 图生视频, 文生视频</t>
        </is>
      </c>
      <c r="Q6" t="inlineStr">
        <is>
          <t>岗位强调AI创意生产、工作流优化和技术创新。</t>
        </is>
      </c>
      <c r="R6" s="2" t="str">
        <f>=HYPERLINK("https://www.zhipin.com/zhaopin/47d1c60e9d9478af0nB_3tq_Eg~~/", "https://www.zhipin.com/zhaopin/47d1c60e9d9478af0nB_3tq_Eg~~/")</f>
        <v>https://www.zhipin.com/zhaopin/47d1c60e9d9478af0nB_3tq_Eg~~/</v>
      </c>
      <c r="S6" s="3">
        <v>46263</v>
      </c>
      <c r="T6" t="inlineStr">
        <is>
          <t>Boss公开列表页摘要；详情页受安全验证限制，内容已结构化归纳。</t>
        </is>
      </c>
    </row>
    <row r="7" ht="25.5" customHeight="1">
      <c r="A7" t="inlineStr">
        <is>
          <t>AI视频制作师</t>
        </is>
      </c>
      <c r="B7" t="inlineStr">
        <is>
          <t>龙牙战术</t>
        </is>
      </c>
      <c r="C7" t="inlineStr">
        <is>
          <t>AI视频/AIGC制作</t>
        </is>
      </c>
      <c r="D7" t="inlineStr">
        <is>
          <t>5-10K</t>
        </is>
      </c>
      <c r="E7">
        <v>5</v>
      </c>
      <c r="F7">
        <v>10</v>
      </c>
      <c r="G7" t="inlineStr">
        <is>
          <t>北京朝阳区高碑店</t>
        </is>
      </c>
      <c r="H7" t="inlineStr">
        <is>
          <t>1-3年</t>
        </is>
      </c>
      <c r="I7" t="inlineStr">
        <is>
          <t>学历不限</t>
        </is>
      </c>
      <c r="J7" t="inlineStr">
        <is>
          <t>服装/纺织</t>
        </is>
      </c>
      <c r="K7" t="inlineStr">
        <is>
          <t>D轮及以上</t>
        </is>
      </c>
      <c r="L7" t="inlineStr">
        <is>
          <t>500-999人</t>
        </is>
      </c>
      <c r="M7" t="inlineStr">
        <is>
          <t>运用主流AI工具完成文生视频、图生视频和视频扩展，持续调优提示词与参数。</t>
        </is>
      </c>
      <c r="N7" t="inlineStr">
        <is>
          <t>能通过多轮指令迭代稳定获得高质量画面。</t>
        </is>
      </c>
      <c r="O7" t="inlineStr">
        <is>
          <t>品牌内容、电商或服装视觉经验。</t>
        </is>
      </c>
      <c r="P7" t="inlineStr">
        <is>
          <t>AI视频, Prompt, 参数调优</t>
        </is>
      </c>
      <c r="Q7" t="inlineStr">
        <is>
          <t>岗位核心是多种视频生成模式与提示词精调。</t>
        </is>
      </c>
      <c r="R7" s="2" t="str">
        <f>=HYPERLINK("https://www.zhipin.com/zhaopin/47d1c60e9d9478af0nB_3tq_Eg~~/", "https://www.zhipin.com/zhaopin/47d1c60e9d9478af0nB_3tq_Eg~~/")</f>
        <v>https://www.zhipin.com/zhaopin/47d1c60e9d9478af0nB_3tq_Eg~~/</v>
      </c>
      <c r="S7" s="3">
        <v>46263</v>
      </c>
      <c r="T7" t="inlineStr">
        <is>
          <t>Boss公开列表页摘要；详情页受安全验证限制，内容已结构化归纳。</t>
        </is>
      </c>
    </row>
    <row r="8" ht="25.5" customHeight="1">
      <c r="A8" t="inlineStr">
        <is>
          <t>AI视频制作</t>
        </is>
      </c>
      <c r="B8" t="inlineStr">
        <is>
          <t>传承互通</t>
        </is>
      </c>
      <c r="C8" t="inlineStr">
        <is>
          <t>AI视频/AIGC制作</t>
        </is>
      </c>
      <c r="D8" t="inlineStr">
        <is>
          <t>20-30K·14薪</t>
        </is>
      </c>
      <c r="E8">
        <v>20</v>
      </c>
      <c r="F8">
        <v>30</v>
      </c>
      <c r="G8" t="inlineStr">
        <is>
          <t>北京海淀区上地</t>
        </is>
      </c>
      <c r="H8" t="inlineStr">
        <is>
          <t>3-5年</t>
        </is>
      </c>
      <c r="I8" t="inlineStr">
        <is>
          <t>学历不限</t>
        </is>
      </c>
      <c r="J8" t="inlineStr">
        <is>
          <t>广播/影视</t>
        </is>
      </c>
      <c r="K8" t="inlineStr">
        <is>
          <t>未融资</t>
        </is>
      </c>
      <c r="L8" t="inlineStr">
        <is>
          <t>0-20人</t>
        </is>
      </c>
      <c r="M8" t="inlineStr">
        <is>
          <t>为国内外广告投放渠道制作AI素材，与内外部团队协作交付视频、海报、文案和产品内容。</t>
        </is>
      </c>
      <c r="N8" t="inlineStr">
        <is>
          <t>能跨团队推进商业创意，理解投放素材的品质和转化要求。</t>
        </is>
      </c>
      <c r="O8" t="inlineStr">
        <is>
          <t>海外投放、广告数据复盘经验。</t>
        </is>
      </c>
      <c r="P8" t="inlineStr">
        <is>
          <t>AI素材, 广告视频, 海报, 文案</t>
        </is>
      </c>
      <c r="Q8" t="inlineStr">
        <is>
          <t>高薪岗位，偏商业投放与多形态AI内容生产。</t>
        </is>
      </c>
      <c r="R8" s="2" t="str">
        <f>=HYPERLINK("https://www.zhipin.com/zhaopin/47d1c60e9d9478af0nB_3tq_Eg~~/", "https://www.zhipin.com/zhaopin/47d1c60e9d9478af0nB_3tq_Eg~~/")</f>
        <v>https://www.zhipin.com/zhaopin/47d1c60e9d9478af0nB_3tq_Eg~~/</v>
      </c>
      <c r="S8" s="3">
        <v>46263</v>
      </c>
      <c r="T8" t="inlineStr">
        <is>
          <t>Boss公开列表页摘要；详情页受安全验证限制，内容已结构化归纳。</t>
        </is>
      </c>
    </row>
    <row r="9" ht="25.5" customHeight="1">
      <c r="A9" t="inlineStr">
        <is>
          <t>AI视频制作</t>
        </is>
      </c>
      <c r="B9" t="inlineStr">
        <is>
          <t>畅聊天下</t>
        </is>
      </c>
      <c r="C9" t="inlineStr">
        <is>
          <t>AI视频/AIGC制作</t>
        </is>
      </c>
      <c r="D9" t="inlineStr">
        <is>
          <t>12-18K</t>
        </is>
      </c>
      <c r="E9">
        <v>12</v>
      </c>
      <c r="F9">
        <v>18</v>
      </c>
      <c r="G9" t="inlineStr">
        <is>
          <t>北京大兴区亦庄</t>
        </is>
      </c>
      <c r="H9" t="inlineStr">
        <is>
          <t>1-3年</t>
        </is>
      </c>
      <c r="I9" t="inlineStr">
        <is>
          <t>学历不限</t>
        </is>
      </c>
      <c r="J9" t="inlineStr">
        <is>
          <t>互联网</t>
        </is>
      </c>
      <c r="K9" t="inlineStr">
        <is>
          <t>不需要融资</t>
        </is>
      </c>
      <c r="L9" t="inlineStr">
        <is>
          <t>100-499人</t>
        </is>
      </c>
      <c r="M9" t="inlineStr">
        <is>
          <t>利用AI视频工具产出口播、故事叙事等短视频，并负责提示词工程与生成效果优化。</t>
        </is>
      </c>
      <c r="N9" t="inlineStr">
        <is>
          <t>具备内容创新能力，能稳定产出高质量、高传播性内容。</t>
        </is>
      </c>
      <c r="O9" t="inlineStr">
        <is>
          <t>熟悉不同短视频平台的内容节奏。</t>
        </is>
      </c>
      <c r="P9" t="inlineStr">
        <is>
          <t>AI视频, Prompt, 短视频</t>
        </is>
      </c>
      <c r="Q9" t="inlineStr">
        <is>
          <t>岗位把内容生产与提示词优化并列为核心职责。</t>
        </is>
      </c>
      <c r="R9" s="2" t="str">
        <f>=HYPERLINK("https://www.zhipin.com/zhaopin/47d1c60e9d9478af0nB_3tq_Eg~~/", "https://www.zhipin.com/zhaopin/47d1c60e9d9478af0nB_3tq_Eg~~/")</f>
        <v>https://www.zhipin.com/zhaopin/47d1c60e9d9478af0nB_3tq_Eg~~/</v>
      </c>
      <c r="S9" s="3">
        <v>46263</v>
      </c>
      <c r="T9" t="inlineStr">
        <is>
          <t>Boss公开列表页摘要；详情页受安全验证限制，内容已结构化归纳。</t>
        </is>
      </c>
    </row>
    <row r="10" ht="25.5" customHeight="1">
      <c r="A10" t="inlineStr">
        <is>
          <t>AIGC视频制作</t>
        </is>
      </c>
      <c r="B10" t="inlineStr">
        <is>
          <t>声创矩阵</t>
        </is>
      </c>
      <c r="C10" t="inlineStr">
        <is>
          <t>AI视频/AIGC制作</t>
        </is>
      </c>
      <c r="D10" t="inlineStr">
        <is>
          <t>12-16K</t>
        </is>
      </c>
      <c r="E10">
        <v>12</v>
      </c>
      <c r="F10">
        <v>16</v>
      </c>
      <c r="G10" t="inlineStr">
        <is>
          <t>北京海淀区上地</t>
        </is>
      </c>
      <c r="H10" t="inlineStr">
        <is>
          <t>1-3年</t>
        </is>
      </c>
      <c r="I10" t="inlineStr">
        <is>
          <t>大专</t>
        </is>
      </c>
      <c r="J10" t="inlineStr">
        <is>
          <t>广告/公关/会展</t>
        </is>
      </c>
      <c r="K10" t="inlineStr">
        <is>
          <t>页面未展示</t>
        </is>
      </c>
      <c r="L10" t="inlineStr">
        <is>
          <t>0-20人</t>
        </is>
      </c>
      <c r="M10" t="inlineStr">
        <is>
          <t>负责AI漫剧、短剧及其他AIGC视频的设计与制作。</t>
        </is>
      </c>
      <c r="N10" t="inlineStr">
        <is>
          <t>至少2年影视、广告或自媒体短视频创作经验；需提供作品。</t>
        </is>
      </c>
      <c r="O10" t="inlineStr">
        <is>
          <t>导演、编剧、摄影、剪辑或自媒体复合背景。</t>
        </is>
      </c>
      <c r="P10" t="inlineStr">
        <is>
          <t>AIGC设计, 影视制作, 剪辑</t>
        </is>
      </c>
      <c r="Q10" t="inlineStr">
        <is>
          <t>硬性强调传统影视经验和作品集。</t>
        </is>
      </c>
      <c r="R10" s="2" t="str">
        <f>=HYPERLINK("https://www.zhipin.com/zhaopin/47d1c60e9d9478af0nB_3tq_Eg~~/", "https://www.zhipin.com/zhaopin/47d1c60e9d9478af0nB_3tq_Eg~~/")</f>
        <v>https://www.zhipin.com/zhaopin/47d1c60e9d9478af0nB_3tq_Eg~~/</v>
      </c>
      <c r="S10" s="3">
        <v>46263</v>
      </c>
      <c r="T10" t="inlineStr">
        <is>
          <t>Boss公开列表页摘要；详情页受安全验证限制，内容已结构化归纳。</t>
        </is>
      </c>
    </row>
    <row r="11" ht="25.5" customHeight="1">
      <c r="A11" t="inlineStr">
        <is>
          <t>AIGC专业视频制作</t>
        </is>
      </c>
      <c r="B11" t="inlineStr">
        <is>
          <t>亿达信息</t>
        </is>
      </c>
      <c r="C11" t="inlineStr">
        <is>
          <t>AI视频/AIGC制作</t>
        </is>
      </c>
      <c r="D11" t="inlineStr">
        <is>
          <t>15-20K</t>
        </is>
      </c>
      <c r="E11">
        <v>15</v>
      </c>
      <c r="F11">
        <v>20</v>
      </c>
      <c r="G11" t="inlineStr">
        <is>
          <t>北京西城区德胜门</t>
        </is>
      </c>
      <c r="H11" t="inlineStr">
        <is>
          <t>1-3年</t>
        </is>
      </c>
      <c r="I11" t="inlineStr">
        <is>
          <t>本科</t>
        </is>
      </c>
      <c r="J11" t="inlineStr">
        <is>
          <t>计算机软件</t>
        </is>
      </c>
      <c r="K11" t="inlineStr">
        <is>
          <t>不需要融资</t>
        </is>
      </c>
      <c r="L11" t="inlineStr">
        <is>
          <t>1000-9999人</t>
        </is>
      </c>
      <c r="M11" t="inlineStr">
        <is>
          <t>依据脚本和创意需求，用AIGC完成分镜可视化；把控构图、镜头调度、表演与场景。</t>
        </is>
      </c>
      <c r="N11" t="inlineStr">
        <is>
          <t>熟练使用镜头语言，能把文字脚本转为清晰视觉叙事。</t>
        </is>
      </c>
      <c r="O11" t="inlineStr">
        <is>
          <t>动画、影视预演或分镜作品。</t>
        </is>
      </c>
      <c r="P11" t="inlineStr">
        <is>
          <t>AIGC, 分镜, 镜头语言</t>
        </is>
      </c>
      <c r="Q11" t="inlineStr">
        <is>
          <t>岗位对分镜与视觉叙事能力要求较高。</t>
        </is>
      </c>
      <c r="R11" s="2" t="str">
        <f>=HYPERLINK("https://www.zhipin.com/zhaopin/47d1c60e9d9478af0nB_3tq_Eg~~/", "https://www.zhipin.com/zhaopin/47d1c60e9d9478af0nB_3tq_Eg~~/")</f>
        <v>https://www.zhipin.com/zhaopin/47d1c60e9d9478af0nB_3tq_Eg~~/</v>
      </c>
      <c r="S11" s="3">
        <v>46263</v>
      </c>
      <c r="T11" t="inlineStr">
        <is>
          <t>Boss公开列表页摘要；详情页受安全验证限制，内容已结构化归纳。</t>
        </is>
      </c>
    </row>
    <row r="12" ht="25.5" customHeight="1">
      <c r="A12" t="inlineStr">
        <is>
          <t>AI视频制作师</t>
        </is>
      </c>
      <c r="B12" t="inlineStr">
        <is>
          <t>HUNGRY STUDIO</t>
        </is>
      </c>
      <c r="C12" t="inlineStr">
        <is>
          <t>AI视频/AIGC制作</t>
        </is>
      </c>
      <c r="D12" t="inlineStr">
        <is>
          <t>8-13K</t>
        </is>
      </c>
      <c r="E12">
        <v>8</v>
      </c>
      <c r="F12">
        <v>13</v>
      </c>
      <c r="G12" t="inlineStr">
        <is>
          <t>北京门头沟区永定</t>
        </is>
      </c>
      <c r="H12" t="inlineStr">
        <is>
          <t>1-3年</t>
        </is>
      </c>
      <c r="I12" t="inlineStr">
        <is>
          <t>本科</t>
        </is>
      </c>
      <c r="J12" t="inlineStr">
        <is>
          <t>游戏</t>
        </is>
      </c>
      <c r="K12" t="inlineStr">
        <is>
          <t>不需要融资</t>
        </is>
      </c>
      <c r="L12" t="inlineStr">
        <is>
          <t>1000-9999人</t>
        </is>
      </c>
      <c r="M12" t="inlineStr">
        <is>
          <t>负责AI视频全流程制作，为AI电影、品牌宣传和自有IP项目产出可传播内容。</t>
        </is>
      </c>
      <c r="N12" t="inlineStr">
        <is>
          <t>兼具创意策划与工具执行能力，能独立完成成片。</t>
        </is>
      </c>
      <c r="O12" t="inlineStr">
        <is>
          <t>游戏或品牌视觉经验。</t>
        </is>
      </c>
      <c r="P12" t="inlineStr">
        <is>
          <t>AI视频, 创意策划, 剪辑</t>
        </is>
      </c>
      <c r="Q12" t="inlineStr">
        <is>
          <t>岗位覆盖电影、品牌和IP三类AI影像场景。</t>
        </is>
      </c>
      <c r="R12" s="2" t="str">
        <f>=HYPERLINK("https://www.zhipin.com/zhaopin/47d1c60e9d9478af0nB_3tq_Eg~~/", "https://www.zhipin.com/zhaopin/47d1c60e9d9478af0nB_3tq_Eg~~/")</f>
        <v>https://www.zhipin.com/zhaopin/47d1c60e9d9478af0nB_3tq_Eg~~/</v>
      </c>
      <c r="S12" s="3">
        <v>46263</v>
      </c>
      <c r="T12" t="inlineStr">
        <is>
          <t>Boss公开列表页摘要；详情页受安全验证限制，内容已结构化归纳。</t>
        </is>
      </c>
    </row>
    <row r="13" ht="25.5" customHeight="1">
      <c r="A13" t="inlineStr">
        <is>
          <t>海外素材视频制作</t>
        </is>
      </c>
      <c r="B13" t="inlineStr">
        <is>
          <t>慧智文化</t>
        </is>
      </c>
      <c r="C13" t="inlineStr">
        <is>
          <t>AI视频/AIGC制作</t>
        </is>
      </c>
      <c r="D13" t="inlineStr">
        <is>
          <t>18-30K</t>
        </is>
      </c>
      <c r="E13">
        <v>18</v>
      </c>
      <c r="F13">
        <v>30</v>
      </c>
      <c r="G13" t="inlineStr">
        <is>
          <t>北京海淀区上地</t>
        </is>
      </c>
      <c r="H13" t="inlineStr">
        <is>
          <t>1-3年</t>
        </is>
      </c>
      <c r="I13" t="inlineStr">
        <is>
          <t>本科</t>
        </is>
      </c>
      <c r="J13" t="inlineStr">
        <is>
          <t>广播/影视</t>
        </is>
      </c>
      <c r="K13" t="inlineStr">
        <is>
          <t>页面未展示</t>
        </is>
      </c>
      <c r="L13" t="inlineStr">
        <is>
          <t>0-20人</t>
        </is>
      </c>
      <c r="M13" t="inlineStr">
        <is>
          <t>面向Google、Meta、TikTok等海外渠道，为AI产品策划并制作广告视频素材。</t>
        </is>
      </c>
      <c r="N13" t="inlineStr">
        <is>
          <t>理解海外媒体特性，能以数据为导向迭代创意。</t>
        </is>
      </c>
      <c r="O13" t="inlineStr">
        <is>
          <t>海外投放或英语内容经验。</t>
        </is>
      </c>
      <c r="P13" t="inlineStr">
        <is>
          <t>Google Ads, Meta, TikTok, AI视频</t>
        </is>
      </c>
      <c r="Q13" t="inlineStr">
        <is>
          <t>岗位偏海外AI产品投放素材。</t>
        </is>
      </c>
      <c r="R13" s="2" t="str">
        <f>=HYPERLINK("https://www.zhipin.com/zhaopin/47d1c60e9d9478af0nB_3tq_Eg~~/", "https://www.zhipin.com/zhaopin/47d1c60e9d9478af0nB_3tq_Eg~~/")</f>
        <v>https://www.zhipin.com/zhaopin/47d1c60e9d9478af0nB_3tq_Eg~~/</v>
      </c>
      <c r="S13" s="3">
        <v>46263</v>
      </c>
      <c r="T13" t="inlineStr">
        <is>
          <t>Boss公开列表页摘要；详情页受安全验证限制，内容已结构化归纳。</t>
        </is>
      </c>
    </row>
    <row r="14" ht="25.5" customHeight="1">
      <c r="A14" t="inlineStr">
        <is>
          <t>AI视频制作实习生</t>
        </is>
      </c>
      <c r="B14" t="inlineStr">
        <is>
          <t>网易有道</t>
        </is>
      </c>
      <c r="C14" t="inlineStr">
        <is>
          <t>实习/其他</t>
        </is>
      </c>
      <c r="D14" t="inlineStr">
        <is>
          <t>120-150元/天</t>
        </is>
      </c>
      <c r="E14"/>
      <c r="F14"/>
      <c r="G14" t="inlineStr">
        <is>
          <t>北京海淀区西北旺</t>
        </is>
      </c>
      <c r="H14" t="inlineStr">
        <is>
          <t>实习</t>
        </is>
      </c>
      <c r="I14" t="inlineStr">
        <is>
          <t>本科</t>
        </is>
      </c>
      <c r="J14" t="inlineStr">
        <is>
          <t>互联网</t>
        </is>
      </c>
      <c r="K14" t="inlineStr">
        <is>
          <t>已上市</t>
        </is>
      </c>
      <c r="L14" t="inlineStr">
        <is>
          <t>10000人以上</t>
        </is>
      </c>
      <c r="M14" t="inlineStr">
        <is>
          <t>使用AI软件完成视频制作，并参与AI账号在抖音、小红书等平台的脚本与创意。</t>
        </is>
      </c>
      <c r="N14" t="inlineStr">
        <is>
          <t>能熟练使用AI软件，有基础脚本和短视频执行能力。</t>
        </is>
      </c>
      <c r="O14" t="inlineStr">
        <is>
          <t>运营过AI内容账号。</t>
        </is>
      </c>
      <c r="P14" t="inlineStr">
        <is>
          <t>AI软件, 抖音, 小红书, 脚本</t>
        </is>
      </c>
      <c r="Q14" t="inlineStr">
        <is>
          <t>市场部新媒体方向的AI视频实习岗位。</t>
        </is>
      </c>
      <c r="R14" s="2" t="str">
        <f>=HYPERLINK("https://www.zhipin.com/zhaopin/47d1c60e9d9478af0nB_3tq_Eg~~/", "https://www.zhipin.com/zhaopin/47d1c60e9d9478af0nB_3tq_Eg~~/")</f>
        <v>https://www.zhipin.com/zhaopin/47d1c60e9d9478af0nB_3tq_Eg~~/</v>
      </c>
      <c r="S14" s="3">
        <v>46263</v>
      </c>
      <c r="T14" t="inlineStr">
        <is>
          <t>Boss公开列表页摘要；日薪未折算月薪。</t>
        </is>
      </c>
    </row>
    <row r="15" ht="25.5" customHeight="1">
      <c r="A15" t="inlineStr">
        <is>
          <t>AIGC视频制作（兼职）</t>
        </is>
      </c>
      <c r="B15" t="inlineStr">
        <is>
          <t>清美</t>
        </is>
      </c>
      <c r="C15" t="inlineStr">
        <is>
          <t>AI视频/AIGC制作</t>
        </is>
      </c>
      <c r="D15" t="inlineStr">
        <is>
          <t>3-8K</t>
        </is>
      </c>
      <c r="E15">
        <v>3</v>
      </c>
      <c r="F15">
        <v>8</v>
      </c>
      <c r="G15" t="inlineStr">
        <is>
          <t>北京朝阳区奥运村</t>
        </is>
      </c>
      <c r="H15" t="inlineStr">
        <is>
          <t>经验不限</t>
        </is>
      </c>
      <c r="I15" t="inlineStr">
        <is>
          <t>本科</t>
        </is>
      </c>
      <c r="J15" t="inlineStr">
        <is>
          <t>广告/公关/会展</t>
        </is>
      </c>
      <c r="K15" t="inlineStr">
        <is>
          <t>页面未展示</t>
        </is>
      </c>
      <c r="L15" t="inlineStr">
        <is>
          <t>20-99人</t>
        </is>
      </c>
      <c r="M15" t="inlineStr">
        <is>
          <t>把完整剧本转为具有电影感的AI成片，重点处理光影、分镜和声效。</t>
        </is>
      </c>
      <c r="N15" t="inlineStr">
        <is>
          <t>具备电影感审美与独立落地能力；需提供作品、可兼职时间和报价。</t>
        </is>
      </c>
      <c r="O15" t="inlineStr">
        <is>
          <t>电影、声音设计或摄影背景。</t>
        </is>
      </c>
      <c r="P15" t="inlineStr">
        <is>
          <t>AI生成, 分镜, 光影, 声效</t>
        </is>
      </c>
      <c r="Q15" t="inlineStr">
        <is>
          <t>项目制兼职，交付目标是剧本到成片。</t>
        </is>
      </c>
      <c r="R15" s="2" t="str">
        <f>=HYPERLINK("https://www.zhipin.com/zhaopin/47d1c60e9d9478af0nB_3tq_Eg~~/", "https://www.zhipin.com/zhaopin/47d1c60e9d9478af0nB_3tq_Eg~~/")</f>
        <v>https://www.zhipin.com/zhaopin/47d1c60e9d9478af0nB_3tq_Eg~~/</v>
      </c>
      <c r="S15" s="3">
        <v>46263</v>
      </c>
      <c r="T15" t="inlineStr">
        <is>
          <t>Boss公开列表页摘要；详情页受安全验证限制，内容已结构化归纳。</t>
        </is>
      </c>
    </row>
    <row r="16" ht="25.5" customHeight="1">
      <c r="A16" t="inlineStr">
        <is>
          <t>AI视频制作</t>
        </is>
      </c>
      <c r="B16" t="inlineStr">
        <is>
          <t>爱学习教育集团</t>
        </is>
      </c>
      <c r="C16" t="inlineStr">
        <is>
          <t>AI视频/AIGC制作</t>
        </is>
      </c>
      <c r="D16" t="inlineStr">
        <is>
          <t>7-10K</t>
        </is>
      </c>
      <c r="E16">
        <v>7</v>
      </c>
      <c r="F16">
        <v>10</v>
      </c>
      <c r="G16" t="inlineStr">
        <is>
          <t>北京朝阳区双桥</t>
        </is>
      </c>
      <c r="H16" t="inlineStr">
        <is>
          <t>1年以内</t>
        </is>
      </c>
      <c r="I16" t="inlineStr">
        <is>
          <t>大专</t>
        </is>
      </c>
      <c r="J16" t="inlineStr">
        <is>
          <t>在线教育</t>
        </is>
      </c>
      <c r="K16" t="inlineStr">
        <is>
          <t>D轮及以上</t>
        </is>
      </c>
      <c r="L16" t="inlineStr">
        <is>
          <t>1000-9999人</t>
        </is>
      </c>
      <c r="M16" t="inlineStr">
        <is>
          <t>制作AI创意短片、AI MV和音乐营销短视频。</t>
        </is>
      </c>
      <c r="N16" t="inlineStr">
        <is>
          <t>熟练掌握主流图生视频与文生视频工具。</t>
        </is>
      </c>
      <c r="O16" t="inlineStr">
        <is>
          <t>音乐内容或营销短片经验。</t>
        </is>
      </c>
      <c r="P16" t="inlineStr">
        <is>
          <t>可灵, 即梦, 海螺, Vidu, Sora</t>
        </is>
      </c>
      <c r="Q16" t="inlineStr">
        <is>
          <t>岗位聚焦音乐与营销类AI短视频。</t>
        </is>
      </c>
      <c r="R16" s="2" t="str">
        <f>=HYPERLINK("https://www.zhipin.com/zhaopin/47d1c60e9d9478af0nB_3tq_Eg~~/", "https://www.zhipin.com/zhaopin/47d1c60e9d9478af0nB_3tq_Eg~~/")</f>
        <v>https://www.zhipin.com/zhaopin/47d1c60e9d9478af0nB_3tq_Eg~~/</v>
      </c>
      <c r="S16" s="3">
        <v>46263</v>
      </c>
      <c r="T16" t="inlineStr">
        <is>
          <t>Boss公开列表页摘要；详情页受安全验证限制，内容已结构化归纳。</t>
        </is>
      </c>
    </row>
    <row r="17" ht="25.5" customHeight="1">
      <c r="A17" t="inlineStr">
        <is>
          <t>AIGC视频制作</t>
        </is>
      </c>
      <c r="B17" t="inlineStr">
        <is>
          <t>北京小旭音乐</t>
        </is>
      </c>
      <c r="C17" t="inlineStr">
        <is>
          <t>AI视频/AIGC制作</t>
        </is>
      </c>
      <c r="D17" t="inlineStr">
        <is>
          <t>7-12K</t>
        </is>
      </c>
      <c r="E17">
        <v>7</v>
      </c>
      <c r="F17">
        <v>12</v>
      </c>
      <c r="G17" t="inlineStr">
        <is>
          <t>北京朝阳区劲松</t>
        </is>
      </c>
      <c r="H17" t="inlineStr">
        <is>
          <t>1-3年</t>
        </is>
      </c>
      <c r="I17" t="inlineStr">
        <is>
          <t>本科</t>
        </is>
      </c>
      <c r="J17" t="inlineStr">
        <is>
          <t>文化艺术/娱乐</t>
        </is>
      </c>
      <c r="K17" t="inlineStr">
        <is>
          <t>A轮</t>
        </is>
      </c>
      <c r="L17" t="inlineStr">
        <is>
          <t>20-99人</t>
        </is>
      </c>
      <c r="M17" t="inlineStr">
        <is>
          <t>按业务需求完成文生视频、图生视频和文生图，并与导演、美术、技术团队探索AI影像应用。</t>
        </is>
      </c>
      <c r="N17" t="inlineStr">
        <is>
          <t>能协同多工种推进项目，掌握主流AIGC影像链路。</t>
        </is>
      </c>
      <c r="O17" t="inlineStr">
        <is>
          <t>音乐、游戏或品牌项目经验。</t>
        </is>
      </c>
      <c r="P17" t="inlineStr">
        <is>
          <t>文生视频, 图生视频, 文生图</t>
        </is>
      </c>
      <c r="Q17" t="inlineStr">
        <is>
          <t>岗位强调跨团队协作与影像探索。</t>
        </is>
      </c>
      <c r="R17" s="2" t="str">
        <f>=HYPERLINK("https://www.zhipin.com/zhaopin/47d1c60e9d9478af0nB_3tq_Eg~~/", "https://www.zhipin.com/zhaopin/47d1c60e9d9478af0nB_3tq_Eg~~/")</f>
        <v>https://www.zhipin.com/zhaopin/47d1c60e9d9478af0nB_3tq_Eg~~/</v>
      </c>
      <c r="S17" s="3">
        <v>46263</v>
      </c>
      <c r="T17" t="inlineStr">
        <is>
          <t>Boss公开列表页摘要；详情页受安全验证限制，内容已结构化归纳。</t>
        </is>
      </c>
    </row>
    <row r="18" ht="25.5" customHeight="1">
      <c r="A18" t="inlineStr">
        <is>
          <t>AIGC视频制作实习生</t>
        </is>
      </c>
      <c r="B18" t="inlineStr">
        <is>
          <t>微梦耀星</t>
        </is>
      </c>
      <c r="C18" t="inlineStr">
        <is>
          <t>实习/其他</t>
        </is>
      </c>
      <c r="D18" t="inlineStr">
        <is>
          <t>180-200元/天</t>
        </is>
      </c>
      <c r="E18"/>
      <c r="F18"/>
      <c r="G18" t="inlineStr">
        <is>
          <t>北京</t>
        </is>
      </c>
      <c r="H18" t="inlineStr">
        <is>
          <t>实习</t>
        </is>
      </c>
      <c r="I18" t="inlineStr">
        <is>
          <t>本科</t>
        </is>
      </c>
      <c r="J18" t="inlineStr">
        <is>
          <t>文化艺术/娱乐</t>
        </is>
      </c>
      <c r="K18" t="inlineStr">
        <is>
          <t>不需要融资</t>
        </is>
      </c>
      <c r="L18" t="inlineStr">
        <is>
          <t>0-20人</t>
        </is>
      </c>
      <c r="M18" t="inlineStr">
        <is>
          <t>参与AI产品品牌与营销视频的视觉设计和动效制作，覆盖策划、分镜与后期合成。</t>
        </is>
      </c>
      <c r="N18" t="inlineStr">
        <is>
          <t>具备视觉设计与动效基础，能参与完整营销视频流程。</t>
        </is>
      </c>
      <c r="O18" t="inlineStr">
        <is>
          <t>产品功能演示或社媒视频经验。</t>
        </is>
      </c>
      <c r="P18" t="inlineStr">
        <is>
          <t>AIGC, 分镜, 动效, 后期合成</t>
        </is>
      </c>
      <c r="Q18" t="inlineStr">
        <is>
          <t>AI产品营销方向的全流程视频实习岗位。</t>
        </is>
      </c>
      <c r="R18" s="2" t="str">
        <f>=HYPERLINK("https://www.zhipin.com/zhaopin/47d1c60e9d9478af0nB_3tq_Eg~~/", "https://www.zhipin.com/zhaopin/47d1c60e9d9478af0nB_3tq_Eg~~/")</f>
        <v>https://www.zhipin.com/zhaopin/47d1c60e9d9478af0nB_3tq_Eg~~/</v>
      </c>
      <c r="S18" s="3">
        <v>46263</v>
      </c>
      <c r="T18" t="inlineStr">
        <is>
          <t>Boss公开列表页摘要；日薪未折算月薪。</t>
        </is>
      </c>
    </row>
    <row r="19" ht="25.5" customHeight="1">
      <c r="A19" t="inlineStr">
        <is>
          <t>AI视频制作专员（互动影游项目）</t>
        </is>
      </c>
      <c r="B19" t="inlineStr">
        <is>
          <t>神策数据</t>
        </is>
      </c>
      <c r="C19" t="inlineStr">
        <is>
          <t>AI视频/AIGC制作</t>
        </is>
      </c>
      <c r="D19" t="inlineStr">
        <is>
          <t>11-20K·14薪</t>
        </is>
      </c>
      <c r="E19">
        <v>11</v>
      </c>
      <c r="F19">
        <v>20</v>
      </c>
      <c r="G19" t="inlineStr">
        <is>
          <t>北京朝阳区亚运村</t>
        </is>
      </c>
      <c r="H19" t="inlineStr">
        <is>
          <t>经验不限</t>
        </is>
      </c>
      <c r="I19" t="inlineStr">
        <is>
          <t>大专</t>
        </is>
      </c>
      <c r="J19" t="inlineStr">
        <is>
          <t>大数据</t>
        </is>
      </c>
      <c r="K19" t="inlineStr">
        <is>
          <t>D轮及以上</t>
        </is>
      </c>
      <c r="L19" t="inlineStr">
        <is>
          <t>1000-9999人</t>
        </is>
      </c>
      <c r="M19" t="inlineStr">
        <is>
          <t>按分镜批量生成AI静态图和视频素材，完成初筛、归档、精修和预演支持。</t>
        </is>
      </c>
      <c r="N19" t="inlineStr">
        <is>
          <t>能高效批产并维护素材质量与一致性。</t>
        </is>
      </c>
      <c r="O19" t="inlineStr">
        <is>
          <t>互动影游、预演或分镜协作经验。</t>
        </is>
      </c>
      <c r="P19" t="inlineStr">
        <is>
          <t>AI生图, AI视频, 后期精修, 预演</t>
        </is>
      </c>
      <c r="Q19" t="inlineStr">
        <is>
          <t>岗位偏互动影游素材生产与预演协作。</t>
        </is>
      </c>
      <c r="R19" s="2" t="str">
        <f>=HYPERLINK("https://www.zhipin.com/zhaopin/47d1c60e9d9478af0nB_3tq_Eg~~/", "https://www.zhipin.com/zhaopin/47d1c60e9d9478af0nB_3tq_Eg~~/")</f>
        <v>https://www.zhipin.com/zhaopin/47d1c60e9d9478af0nB_3tq_Eg~~/</v>
      </c>
      <c r="S19" s="3">
        <v>46263</v>
      </c>
      <c r="T19" t="inlineStr">
        <is>
          <t>Boss公开列表页摘要；详情页受安全验证限制，内容已结构化归纳。</t>
        </is>
      </c>
    </row>
    <row r="20" ht="25.5" customHeight="1">
      <c r="A20" t="inlineStr">
        <is>
          <t>AI动漫制作团队</t>
        </is>
      </c>
      <c r="B20" t="inlineStr">
        <is>
          <t>山东红石榴影视文化</t>
        </is>
      </c>
      <c r="C20" t="inlineStr">
        <is>
          <t>AI漫剧制作</t>
        </is>
      </c>
      <c r="D20" t="inlineStr">
        <is>
          <t>20-40K</t>
        </is>
      </c>
      <c r="E20">
        <v>20</v>
      </c>
      <c r="F20">
        <v>40</v>
      </c>
      <c r="G20" t="inlineStr">
        <is>
          <t>济南长清区长清大学城</t>
        </is>
      </c>
      <c r="H20" t="inlineStr">
        <is>
          <t>经验不限</t>
        </is>
      </c>
      <c r="I20" t="inlineStr">
        <is>
          <t>学历不限</t>
        </is>
      </c>
      <c r="J20" t="inlineStr">
        <is>
          <t>广播/影视</t>
        </is>
      </c>
      <c r="K20" t="inlineStr">
        <is>
          <t>不需要融资</t>
        </is>
      </c>
      <c r="L20" t="inlineStr">
        <is>
          <t>20-99人</t>
        </is>
      </c>
      <c r="M20" t="inlineStr">
        <is>
          <t>承接AI漫剧、2D/3D动画剧和AI短剧批量项目，负责稳定交付。</t>
        </is>
      </c>
      <c r="N20" t="inlineStr">
        <is>
          <t>需要成熟团队与稳定产能，能按项目标准批量交付。</t>
        </is>
      </c>
      <c r="O20" t="inlineStr">
        <is>
          <t>具备完整团队和过往大批量项目案例。</t>
        </is>
      </c>
      <c r="P20" t="inlineStr">
        <is>
          <t>AI漫剧, 2D/3D, 短剧工作流</t>
        </is>
      </c>
      <c r="Q20" t="inlineStr">
        <is>
          <t>面向团队而非单人，薪资更像项目产能报价。</t>
        </is>
      </c>
      <c r="R20" s="2" t="str">
        <f>=HYPERLINK("https://www.zhipin.com/zhaopin/9a31b6b3cbf5dccf03J53tq_Fg~~/", "https://www.zhipin.com/zhaopin/9a31b6b3cbf5dccf03J53tq_Fg~~/")</f>
        <v>https://www.zhipin.com/zhaopin/9a31b6b3cbf5dccf03J53tq_Fg~~/</v>
      </c>
      <c r="S20" s="3">
        <v>46263</v>
      </c>
      <c r="T20" t="inlineStr">
        <is>
          <t>Boss公开列表页摘要；月薪口径按页面原文记录。</t>
        </is>
      </c>
    </row>
    <row r="21" ht="25.5" customHeight="1">
      <c r="A21" t="inlineStr">
        <is>
          <t>AI动漫制作</t>
        </is>
      </c>
      <c r="B21" t="inlineStr">
        <is>
          <t>鑫胜传媒</t>
        </is>
      </c>
      <c r="C21" t="inlineStr">
        <is>
          <t>AI漫剧制作</t>
        </is>
      </c>
      <c r="D21" t="inlineStr">
        <is>
          <t>7-10K</t>
        </is>
      </c>
      <c r="E21">
        <v>7</v>
      </c>
      <c r="F21">
        <v>10</v>
      </c>
      <c r="G21" t="inlineStr">
        <is>
          <t>济南历城区汉峪金谷</t>
        </is>
      </c>
      <c r="H21" t="inlineStr">
        <is>
          <t>1-3年</t>
        </is>
      </c>
      <c r="I21" t="inlineStr">
        <is>
          <t>大专</t>
        </is>
      </c>
      <c r="J21" t="inlineStr">
        <is>
          <t>文化艺术/娱乐</t>
        </is>
      </c>
      <c r="K21" t="inlineStr">
        <is>
          <t>页面未展示</t>
        </is>
      </c>
      <c r="L21" t="inlineStr">
        <is>
          <t>20-99人</t>
        </is>
      </c>
      <c r="M21" t="inlineStr">
        <is>
          <t>将指定内容改编成AI短剧，结合热点策划主题，并完成付费微短剧内容生产。</t>
        </is>
      </c>
      <c r="N21" t="inlineStr">
        <is>
          <t>能独立完成约1分钟单集的原创或改编制作。</t>
        </is>
      </c>
      <c r="O21" t="inlineStr">
        <is>
          <t>理解付费短剧节奏和用户爽点。</t>
        </is>
      </c>
      <c r="P21" t="inlineStr">
        <is>
          <t>AI动漫, 剧本改编, 短剧制作</t>
        </is>
      </c>
      <c r="Q21" t="inlineStr">
        <is>
          <t>岗位同时要求内容策划与AI制作落地。</t>
        </is>
      </c>
      <c r="R21" s="2" t="str">
        <f>=HYPERLINK("https://www.zhipin.com/zhaopin/9a31b6b3cbf5dccf03J53tq_Fg~~/", "https://www.zhipin.com/zhaopin/9a31b6b3cbf5dccf03J53tq_Fg~~/")</f>
        <v>https://www.zhipin.com/zhaopin/9a31b6b3cbf5dccf03J53tq_Fg~~/</v>
      </c>
      <c r="S21" s="3">
        <v>46263</v>
      </c>
      <c r="T21" t="inlineStr">
        <is>
          <t>Boss公开列表页摘要；详情页受安全验证限制。</t>
        </is>
      </c>
    </row>
    <row r="22" ht="25.5" customHeight="1">
      <c r="A22" t="inlineStr">
        <is>
          <t>AI动漫制作</t>
        </is>
      </c>
      <c r="B22" t="inlineStr">
        <is>
          <t>师子座文化</t>
        </is>
      </c>
      <c r="C22" t="inlineStr">
        <is>
          <t>AI漫剧制作</t>
        </is>
      </c>
      <c r="D22" t="inlineStr">
        <is>
          <t>4-9K</t>
        </is>
      </c>
      <c r="E22">
        <v>4</v>
      </c>
      <c r="F22">
        <v>9</v>
      </c>
      <c r="G22" t="inlineStr">
        <is>
          <t>济南槐荫区张庄路</t>
        </is>
      </c>
      <c r="H22" t="inlineStr">
        <is>
          <t>经验不限</t>
        </is>
      </c>
      <c r="I22" t="inlineStr">
        <is>
          <t>大专</t>
        </is>
      </c>
      <c r="J22" t="inlineStr">
        <is>
          <t>广播/影视</t>
        </is>
      </c>
      <c r="K22" t="inlineStr">
        <is>
          <t>页面未展示</t>
        </is>
      </c>
      <c r="L22" t="inlineStr">
        <is>
          <t>0-20人</t>
        </is>
      </c>
      <c r="M22" t="inlineStr">
        <is>
          <t>参与AI技术在动漫制作中的应用，协助角色、场景等内容数字化制作并保障进度。</t>
        </is>
      </c>
      <c r="N22" t="inlineStr">
        <is>
          <t>具备基础动漫制作能力，能够团队协作。</t>
        </is>
      </c>
      <c r="O22" t="inlineStr">
        <is>
          <t>相关专业或个人作品。</t>
        </is>
      </c>
      <c r="P22" t="inlineStr">
        <is>
          <t>AI动漫, 角色, 场景制作</t>
        </is>
      </c>
      <c r="Q22" t="inlineStr">
        <is>
          <t>偏初级执行岗位，职责覆盖角色与场景数字化。</t>
        </is>
      </c>
      <c r="R22" s="2" t="str">
        <f>=HYPERLINK("https://www.zhipin.com/zhaopin/9a31b6b3cbf5dccf03J53tq_Fg~~/", "https://www.zhipin.com/zhaopin/9a31b6b3cbf5dccf03J53tq_Fg~~/")</f>
        <v>https://www.zhipin.com/zhaopin/9a31b6b3cbf5dccf03J53tq_Fg~~/</v>
      </c>
      <c r="S22" s="3">
        <v>46263</v>
      </c>
      <c r="T22" t="inlineStr">
        <is>
          <t>Boss公开列表页摘要；详情页受安全验证限制。</t>
        </is>
      </c>
    </row>
    <row r="23" ht="25.5" customHeight="1">
      <c r="A23" t="inlineStr">
        <is>
          <t>AI动漫短剧制作师</t>
        </is>
      </c>
      <c r="B23" t="inlineStr">
        <is>
          <t>凯维思国际贸易</t>
        </is>
      </c>
      <c r="C23" t="inlineStr">
        <is>
          <t>AI漫剧制作</t>
        </is>
      </c>
      <c r="D23" t="inlineStr">
        <is>
          <t>3-8K</t>
        </is>
      </c>
      <c r="E23">
        <v>3</v>
      </c>
      <c r="F23">
        <v>8</v>
      </c>
      <c r="G23" t="inlineStr">
        <is>
          <t>济南历下区高新会展中心</t>
        </is>
      </c>
      <c r="H23" t="inlineStr">
        <is>
          <t>1年以内</t>
        </is>
      </c>
      <c r="I23" t="inlineStr">
        <is>
          <t>大专</t>
        </is>
      </c>
      <c r="J23" t="inlineStr">
        <is>
          <t>互联网</t>
        </is>
      </c>
      <c r="K23" t="inlineStr">
        <is>
          <t>不需要融资</t>
        </is>
      </c>
      <c r="L23" t="inlineStr">
        <is>
          <t>0-20人</t>
        </is>
      </c>
      <c r="M23" t="inlineStr">
        <is>
          <t>按脚本和分镜使用AI生成工具制作二维动画，保证动态流畅和风格统一。</t>
        </is>
      </c>
      <c r="N23" t="inlineStr">
        <is>
          <t>熟悉AI生成、动态视觉和基础剪辑。</t>
        </is>
      </c>
      <c r="O23" t="inlineStr">
        <is>
          <t>二维动画经验。</t>
        </is>
      </c>
      <c r="P23" t="inlineStr">
        <is>
          <t>即梦, Runway, Pika, 剪映</t>
        </is>
      </c>
      <c r="Q23" t="inlineStr">
        <is>
          <t>初级AI动漫短剧制作岗位。</t>
        </is>
      </c>
      <c r="R23" s="2" t="str">
        <f>=HYPERLINK("https://www.zhipin.com/zhaopin/9a31b6b3cbf5dccf03J53tq_Fg~~/", "https://www.zhipin.com/zhaopin/9a31b6b3cbf5dccf03J53tq_Fg~~/")</f>
        <v>https://www.zhipin.com/zhaopin/9a31b6b3cbf5dccf03J53tq_Fg~~/</v>
      </c>
      <c r="S23" s="3">
        <v>46263</v>
      </c>
      <c r="T23" t="inlineStr">
        <is>
          <t>Boss公开列表页摘要；详情页受安全验证限制。</t>
        </is>
      </c>
    </row>
    <row r="24" ht="25.5" customHeight="1">
      <c r="A24" t="inlineStr">
        <is>
          <t>AI动漫分镜/导演/后期制作</t>
        </is>
      </c>
      <c r="B24" t="inlineStr">
        <is>
          <t>济南奇点兔网络科技</t>
        </is>
      </c>
      <c r="C24" t="inlineStr">
        <is>
          <t>导演/编导</t>
        </is>
      </c>
      <c r="D24" t="inlineStr">
        <is>
          <t>4-8K</t>
        </is>
      </c>
      <c r="E24">
        <v>4</v>
      </c>
      <c r="F24">
        <v>8</v>
      </c>
      <c r="G24" t="inlineStr">
        <is>
          <t>济南历下区浆水泉</t>
        </is>
      </c>
      <c r="H24" t="inlineStr">
        <is>
          <t>1-3年</t>
        </is>
      </c>
      <c r="I24" t="inlineStr">
        <is>
          <t>大专</t>
        </is>
      </c>
      <c r="J24" t="inlineStr">
        <is>
          <t>互联网</t>
        </is>
      </c>
      <c r="K24" t="inlineStr">
        <is>
          <t>页面未展示</t>
        </is>
      </c>
      <c r="L24" t="inlineStr">
        <is>
          <t>20-99人</t>
        </is>
      </c>
      <c r="M24" t="inlineStr">
        <is>
          <t>解读剧本并设计景别、角度、运镜和时长，使用AI工具完成分镜到后期。</t>
        </is>
      </c>
      <c r="N24" t="inlineStr">
        <is>
          <t>具备剧本分析、镜头设计和后期执行能力。</t>
        </is>
      </c>
      <c r="O24" t="inlineStr">
        <is>
          <t>五险一金；有导演或分镜作品。</t>
        </is>
      </c>
      <c r="P24" t="inlineStr">
        <is>
          <t>豆包, Vidu, 分镜, 后期</t>
        </is>
      </c>
      <c r="Q24" t="inlineStr">
        <is>
          <t>岗位把分镜、导演与后期合并为复合职能。</t>
        </is>
      </c>
      <c r="R24" s="2" t="str">
        <f>=HYPERLINK("https://www.zhipin.com/zhaopin/9a31b6b3cbf5dccf03J53tq_Fg~~/", "https://www.zhipin.com/zhaopin/9a31b6b3cbf5dccf03J53tq_Fg~~/")</f>
        <v>https://www.zhipin.com/zhaopin/9a31b6b3cbf5dccf03J53tq_Fg~~/</v>
      </c>
      <c r="S24" s="3">
        <v>46263</v>
      </c>
      <c r="T24" t="inlineStr">
        <is>
          <t>Boss公开列表页摘要；详情页受安全验证限制。</t>
        </is>
      </c>
    </row>
    <row r="25" ht="25.5" customHeight="1">
      <c r="A25" t="inlineStr">
        <is>
          <t>AI漫剧制作师</t>
        </is>
      </c>
      <c r="B25" t="inlineStr">
        <is>
          <t>兼职网</t>
        </is>
      </c>
      <c r="C25" t="inlineStr">
        <is>
          <t>AI漫剧制作</t>
        </is>
      </c>
      <c r="D25" t="inlineStr">
        <is>
          <t>6-10K</t>
        </is>
      </c>
      <c r="E25">
        <v>6</v>
      </c>
      <c r="F25">
        <v>10</v>
      </c>
      <c r="G25" t="inlineStr">
        <is>
          <t>济南历城区华山</t>
        </is>
      </c>
      <c r="H25" t="inlineStr">
        <is>
          <t>1-3年</t>
        </is>
      </c>
      <c r="I25" t="inlineStr">
        <is>
          <t>本科</t>
        </is>
      </c>
      <c r="J25" t="inlineStr">
        <is>
          <t>咨询</t>
        </is>
      </c>
      <c r="K25" t="inlineStr">
        <is>
          <t>不需要融资</t>
        </is>
      </c>
      <c r="L25" t="inlineStr">
        <is>
          <t>100-499人</t>
        </is>
      </c>
      <c r="M25" t="inlineStr">
        <is>
          <t>独立负责从AI内容生成到后期合成的全流程，确保成片质量。</t>
        </is>
      </c>
      <c r="N25" t="inlineStr">
        <is>
          <t>必须是能独立交付的成熟制作人员。</t>
        </is>
      </c>
      <c r="O25" t="inlineStr">
        <is>
          <t>稳定工作流或高质量成片案例。</t>
        </is>
      </c>
      <c r="P25" t="inlineStr">
        <is>
          <t>AI生成, 后期合成</t>
        </is>
      </c>
      <c r="Q25" t="inlineStr">
        <is>
          <t>岗位名称来自公开列表页，强调成手与全流程交付。</t>
        </is>
      </c>
      <c r="R25" s="2" t="str">
        <f>=HYPERLINK("https://www.zhipin.com/zhaopin/9a31b6b3cbf5dccf03J53tq_Fg~~/", "https://www.zhipin.com/zhaopin/9a31b6b3cbf5dccf03J53tq_Fg~~/")</f>
        <v>https://www.zhipin.com/zhaopin/9a31b6b3cbf5dccf03J53tq_Fg~~/</v>
      </c>
      <c r="S25" s="3">
        <v>46263</v>
      </c>
      <c r="T25" t="inlineStr">
        <is>
          <t>Boss公开列表页摘要；详情页受安全验证限制。</t>
        </is>
      </c>
    </row>
    <row r="26" ht="25.5" customHeight="1">
      <c r="A26" t="inlineStr">
        <is>
          <t>AI漫剧/工作流制作师</t>
        </is>
      </c>
      <c r="B26" t="inlineStr">
        <is>
          <t>水滴文化</t>
        </is>
      </c>
      <c r="C26" t="inlineStr">
        <is>
          <t>AI漫剧制作</t>
        </is>
      </c>
      <c r="D26" t="inlineStr">
        <is>
          <t>5-10K</t>
        </is>
      </c>
      <c r="E26">
        <v>5</v>
      </c>
      <c r="F26">
        <v>10</v>
      </c>
      <c r="G26" t="inlineStr">
        <is>
          <t>济南长清区长清大学城</t>
        </is>
      </c>
      <c r="H26" t="inlineStr">
        <is>
          <t>1年以内</t>
        </is>
      </c>
      <c r="I26" t="inlineStr">
        <is>
          <t>大专</t>
        </is>
      </c>
      <c r="J26" t="inlineStr">
        <is>
          <t>文化艺术/娱乐</t>
        </is>
      </c>
      <c r="K26" t="inlineStr">
        <is>
          <t>页面未展示</t>
        </is>
      </c>
      <c r="L26" t="inlineStr">
        <is>
          <t>0-20人</t>
        </is>
      </c>
      <c r="M26" t="inlineStr">
        <is>
          <t>参与AI漫剧制作并搭建或执行工作流，兼顾创作效率与交付。</t>
        </is>
      </c>
      <c r="N26" t="inlineStr">
        <is>
          <t>不接受零经验；需有实际AI漫剧制作经历。</t>
        </is>
      </c>
      <c r="O26" t="inlineStr">
        <is>
          <t>能优化工作流、兼顾效率与质量。</t>
        </is>
      </c>
      <c r="P26" t="inlineStr">
        <is>
          <t>AI漫剧工作流, 生成, 剪辑</t>
        </is>
      </c>
      <c r="Q26" t="inlineStr">
        <is>
          <t>页面强调双休、弹性时间和成熟制作经验。</t>
        </is>
      </c>
      <c r="R26" s="2" t="str">
        <f>=HYPERLINK("https://www.zhipin.com/zhaopin/9a31b6b3cbf5dccf03J53tq_Fg~~/", "https://www.zhipin.com/zhaopin/9a31b6b3cbf5dccf03J53tq_Fg~~/")</f>
        <v>https://www.zhipin.com/zhaopin/9a31b6b3cbf5dccf03J53tq_Fg~~/</v>
      </c>
      <c r="S26" s="3">
        <v>46263</v>
      </c>
      <c r="T26" t="inlineStr">
        <is>
          <t>Boss公开列表页摘要；详情页受安全验证限制。</t>
        </is>
      </c>
    </row>
    <row r="27" ht="25.5" customHeight="1">
      <c r="A27" t="inlineStr">
        <is>
          <t>AIGC动漫制作</t>
        </is>
      </c>
      <c r="B27" t="inlineStr">
        <is>
          <t>青岛乐帧文化传媒</t>
        </is>
      </c>
      <c r="C27" t="inlineStr">
        <is>
          <t>AI漫剧制作</t>
        </is>
      </c>
      <c r="D27" t="inlineStr">
        <is>
          <t>7-10K</t>
        </is>
      </c>
      <c r="E27">
        <v>7</v>
      </c>
      <c r="F27">
        <v>10</v>
      </c>
      <c r="G27" t="inlineStr">
        <is>
          <t>济南历下区高新会展中心</t>
        </is>
      </c>
      <c r="H27" t="inlineStr">
        <is>
          <t>经验不限</t>
        </is>
      </c>
      <c r="I27" t="inlineStr">
        <is>
          <t>大专</t>
        </is>
      </c>
      <c r="J27" t="inlineStr">
        <is>
          <t>文化艺术/娱乐</t>
        </is>
      </c>
      <c r="K27" t="inlineStr">
        <is>
          <t>不需要融资</t>
        </is>
      </c>
      <c r="L27" t="inlineStr">
        <is>
          <t>0-20人</t>
        </is>
      </c>
      <c r="M27" t="inlineStr">
        <is>
          <t>策划AI漫剧主题，将内容改编成短剧并完成付费微短剧制作。</t>
        </is>
      </c>
      <c r="N27" t="inlineStr">
        <is>
          <t>具备AIGC动漫制作能力，能理解热点和用户喜好。</t>
        </is>
      </c>
      <c r="O27" t="inlineStr">
        <is>
          <t>付费短剧或爆款内容经验。</t>
        </is>
      </c>
      <c r="P27" t="inlineStr">
        <is>
          <t>AIGC动漫, 剧本改编, 短剧</t>
        </is>
      </c>
      <c r="Q27" t="inlineStr">
        <is>
          <t>内容策划与制作执行并重。</t>
        </is>
      </c>
      <c r="R27" s="2" t="str">
        <f>=HYPERLINK("https://www.zhipin.com/zhaopin/9a31b6b3cbf5dccf03J53tq_Fg~~/", "https://www.zhipin.com/zhaopin/9a31b6b3cbf5dccf03J53tq_Fg~~/")</f>
        <v>https://www.zhipin.com/zhaopin/9a31b6b3cbf5dccf03J53tq_Fg~~/</v>
      </c>
      <c r="S27" s="3">
        <v>46263</v>
      </c>
      <c r="T27" t="inlineStr">
        <is>
          <t>Boss公开列表页摘要；详情页受安全验证限制。</t>
        </is>
      </c>
    </row>
    <row r="28" ht="25.5" customHeight="1">
      <c r="A28" t="inlineStr">
        <is>
          <t>AI漫剧制作</t>
        </is>
      </c>
      <c r="B28" t="inlineStr">
        <is>
          <t>济南懒人猫文化</t>
        </is>
      </c>
      <c r="C28" t="inlineStr">
        <is>
          <t>AI漫剧制作</t>
        </is>
      </c>
      <c r="D28" t="inlineStr">
        <is>
          <t>4-9K</t>
        </is>
      </c>
      <c r="E28">
        <v>4</v>
      </c>
      <c r="F28">
        <v>9</v>
      </c>
      <c r="G28" t="inlineStr">
        <is>
          <t>济南历下区高新会展中心</t>
        </is>
      </c>
      <c r="H28" t="inlineStr">
        <is>
          <t>1年以内</t>
        </is>
      </c>
      <c r="I28" t="inlineStr">
        <is>
          <t>大专</t>
        </is>
      </c>
      <c r="J28" t="inlineStr">
        <is>
          <t>文化艺术/娱乐</t>
        </is>
      </c>
      <c r="K28" t="inlineStr">
        <is>
          <t>未融资</t>
        </is>
      </c>
      <c r="L28" t="inlineStr">
        <is>
          <t>0-20人</t>
        </is>
      </c>
      <c r="M28" t="inlineStr">
        <is>
          <t>从剧本/分镜、AI素材生成、画面合成到配音配乐和剪辑，完成短剧成片。</t>
        </is>
      </c>
      <c r="N28" t="inlineStr">
        <is>
          <t>熟悉AI短剧全流程，能优化提示词并保持画面一致。</t>
        </is>
      </c>
      <c r="O28" t="inlineStr">
        <is>
          <t>有独立成片经验。</t>
        </is>
      </c>
      <c r="P28" t="inlineStr">
        <is>
          <t>AI素材, 合成, 剪辑, 配音配乐, Prompt</t>
        </is>
      </c>
      <c r="Q28" t="inlineStr">
        <is>
          <t>典型的AI漫剧全流程执行岗位。</t>
        </is>
      </c>
      <c r="R28" s="2" t="str">
        <f>=HYPERLINK("https://www.zhipin.com/zhaopin/9a31b6b3cbf5dccf03J53tq_Fg~~/", "https://www.zhipin.com/zhaopin/9a31b6b3cbf5dccf03J53tq_Fg~~/")</f>
        <v>https://www.zhipin.com/zhaopin/9a31b6b3cbf5dccf03J53tq_Fg~~/</v>
      </c>
      <c r="S28" s="3">
        <v>46263</v>
      </c>
      <c r="T28" t="inlineStr">
        <is>
          <t>Boss公开列表页摘要；详情页受安全验证限制。</t>
        </is>
      </c>
    </row>
    <row r="29" ht="25.5" customHeight="1">
      <c r="A29" t="inlineStr">
        <is>
          <t>动态漫制作</t>
        </is>
      </c>
      <c r="B29" t="inlineStr">
        <is>
          <t>山东北都信息科技</t>
        </is>
      </c>
      <c r="C29" t="inlineStr">
        <is>
          <t>AI漫剧制作</t>
        </is>
      </c>
      <c r="D29" t="inlineStr">
        <is>
          <t>40000-50000元/周</t>
        </is>
      </c>
      <c r="E29"/>
      <c r="F29"/>
      <c r="G29" t="inlineStr">
        <is>
          <t>济南市中区纬三路</t>
        </is>
      </c>
      <c r="H29" t="inlineStr">
        <is>
          <t>1-3年</t>
        </is>
      </c>
      <c r="I29" t="inlineStr">
        <is>
          <t>学历不限</t>
        </is>
      </c>
      <c r="J29" t="inlineStr">
        <is>
          <t>人工智能</t>
        </is>
      </c>
      <c r="K29" t="inlineStr">
        <is>
          <t>不需要融资</t>
        </is>
      </c>
      <c r="L29" t="inlineStr">
        <is>
          <t>20-99人</t>
        </is>
      </c>
      <c r="M29" t="inlineStr">
        <is>
          <t>远程完成沙雕漫全流程制作，按项目需求创作并协作保障质量与进度。</t>
        </is>
      </c>
      <c r="N29" t="inlineStr">
        <is>
          <t>能全流程制作的个人或团队；有稳定交付能力。</t>
        </is>
      </c>
      <c r="O29" t="inlineStr">
        <is>
          <t>团队制、远程制作经验。</t>
        </is>
      </c>
      <c r="P29" t="inlineStr">
        <is>
          <t>动态漫, 沙雕漫, 全流程制作</t>
        </is>
      </c>
      <c r="Q29" t="inlineStr">
        <is>
          <t>周薪口径异常高，可能是团队/项目报价，需沟通核验。</t>
        </is>
      </c>
      <c r="R29" s="2" t="str">
        <f>=HYPERLINK("https://www.zhipin.com/zhaopin/9a31b6b3cbf5dccf03J53tq_Fg~~/", "https://www.zhipin.com/zhaopin/9a31b6b3cbf5dccf03J53tq_Fg~~/")</f>
        <v>https://www.zhipin.com/zhaopin/9a31b6b3cbf5dccf03J53tq_Fg~~/</v>
      </c>
      <c r="S29" s="3">
        <v>46263</v>
      </c>
      <c r="T29" t="inlineStr">
        <is>
          <t>Boss公开列表页摘要；周薪未折算，建议重点核验。</t>
        </is>
      </c>
    </row>
    <row r="30" ht="25.5" customHeight="1">
      <c r="A30" t="inlineStr">
        <is>
          <t>动漫内容制作</t>
        </is>
      </c>
      <c r="B30" t="inlineStr">
        <is>
          <t>成都涛恩迅科技</t>
        </is>
      </c>
      <c r="C30" t="inlineStr">
        <is>
          <t>AI漫剧制作</t>
        </is>
      </c>
      <c r="D30" t="inlineStr">
        <is>
          <t>4-6K</t>
        </is>
      </c>
      <c r="E30">
        <v>4</v>
      </c>
      <c r="F30">
        <v>6</v>
      </c>
      <c r="G30" t="inlineStr">
        <is>
          <t>成都武侯区机投</t>
        </is>
      </c>
      <c r="H30" t="inlineStr">
        <is>
          <t>经验不限</t>
        </is>
      </c>
      <c r="I30" t="inlineStr">
        <is>
          <t>本科</t>
        </is>
      </c>
      <c r="J30" t="inlineStr">
        <is>
          <t>页面未展示</t>
        </is>
      </c>
      <c r="K30" t="inlineStr">
        <is>
          <t>页面未展示</t>
        </is>
      </c>
      <c r="L30" t="inlineStr">
        <is>
          <t>页面未展示</t>
        </is>
      </c>
      <c r="M30" t="inlineStr">
        <is>
          <t>使用AI软件制作动态漫或真人短剧，并判断图片与视频的审美质量。</t>
        </is>
      </c>
      <c r="N30" t="inlineStr">
        <is>
          <t>同时熟悉多种主流AI工具，具备基础审美。</t>
        </is>
      </c>
      <c r="O30" t="inlineStr">
        <is>
          <t>动画、漫画或影视相关背景。</t>
        </is>
      </c>
      <c r="P30" t="inlineStr">
        <is>
          <t>豆包, 即梦, 海螺, 可灵</t>
        </is>
      </c>
      <c r="Q30" t="inlineStr">
        <is>
          <t>AI动态漫/真人短剧初级制作岗位。</t>
        </is>
      </c>
      <c r="R30" s="2" t="str">
        <f>=HYPERLINK("https://m.zhipin.com/zhaopin/affc5f997c57e5661Hx50tS_Fw~~/", "https://m.zhipin.com/zhaopin/affc5f997c57e5661Hx50tS_Fw~~/")</f>
        <v>https://m.zhipin.com/zhaopin/affc5f997c57e5661Hx50tS_Fw~~/</v>
      </c>
      <c r="S30" s="3">
        <v>46263</v>
      </c>
      <c r="T30" t="inlineStr">
        <is>
          <t>Boss公开移动列表页摘要；详情页受安全验证限制。</t>
        </is>
      </c>
    </row>
    <row r="31" ht="25.5" customHeight="1">
      <c r="A31" t="inlineStr">
        <is>
          <t>AI动漫制作</t>
        </is>
      </c>
      <c r="B31" t="inlineStr">
        <is>
          <t>果然天空</t>
        </is>
      </c>
      <c r="C31" t="inlineStr">
        <is>
          <t>AI漫剧制作</t>
        </is>
      </c>
      <c r="D31" t="inlineStr">
        <is>
          <t>4-7K</t>
        </is>
      </c>
      <c r="E31">
        <v>4</v>
      </c>
      <c r="F31">
        <v>7</v>
      </c>
      <c r="G31" t="inlineStr">
        <is>
          <t>成都金牛区抚琴</t>
        </is>
      </c>
      <c r="H31" t="inlineStr">
        <is>
          <t>1年以内</t>
        </is>
      </c>
      <c r="I31" t="inlineStr">
        <is>
          <t>大专</t>
        </is>
      </c>
      <c r="J31" t="inlineStr">
        <is>
          <t>页面未展示</t>
        </is>
      </c>
      <c r="K31" t="inlineStr">
        <is>
          <t>页面未展示</t>
        </is>
      </c>
      <c r="L31" t="inlineStr">
        <is>
          <t>页面未展示</t>
        </is>
      </c>
      <c r="M31" t="inlineStr">
        <is>
          <t>根据剧本、分镜和导演要求批量生成人物、场景与镜头画面，保持角色、场景和画风统一。</t>
        </is>
      </c>
      <c r="N31" t="inlineStr">
        <is>
          <t>能使用AI绘图工具稳定批量出图。</t>
        </is>
      </c>
      <c r="O31" t="inlineStr">
        <is>
          <t>有漫剧或AI短剧素材案例。</t>
        </is>
      </c>
      <c r="P31" t="inlineStr">
        <is>
          <t>AI绘图, 角色一致性, 场景一致性</t>
        </is>
      </c>
      <c r="Q31" t="inlineStr">
        <is>
          <t>岗位偏AI美术资产与镜头画面生产。</t>
        </is>
      </c>
      <c r="R31" s="2" t="str">
        <f>=HYPERLINK("https://m.zhipin.com/zhaopin/affc5f997c57e5661Hx50tS_Fw~~/", "https://m.zhipin.com/zhaopin/affc5f997c57e5661Hx50tS_Fw~~/")</f>
        <v>https://m.zhipin.com/zhaopin/affc5f997c57e5661Hx50tS_Fw~~/</v>
      </c>
      <c r="S31" s="3">
        <v>46263</v>
      </c>
      <c r="T31" t="inlineStr">
        <is>
          <t>Boss公开移动列表页摘要；详情页受安全验证限制。</t>
        </is>
      </c>
    </row>
    <row r="32" ht="25.5" customHeight="1">
      <c r="A32" t="inlineStr">
        <is>
          <t>AI动漫制作</t>
        </is>
      </c>
      <c r="B32" t="inlineStr">
        <is>
          <t>施魏因</t>
        </is>
      </c>
      <c r="C32" t="inlineStr">
        <is>
          <t>AI漫剧制作</t>
        </is>
      </c>
      <c r="D32" t="inlineStr">
        <is>
          <t>6-10K</t>
        </is>
      </c>
      <c r="E32">
        <v>6</v>
      </c>
      <c r="F32">
        <v>10</v>
      </c>
      <c r="G32" t="inlineStr">
        <is>
          <t>成都成华区驷马桥</t>
        </is>
      </c>
      <c r="H32" t="inlineStr">
        <is>
          <t>经验不限</t>
        </is>
      </c>
      <c r="I32" t="inlineStr">
        <is>
          <t>大专</t>
        </is>
      </c>
      <c r="J32" t="inlineStr">
        <is>
          <t>页面未展示</t>
        </is>
      </c>
      <c r="K32" t="inlineStr">
        <is>
          <t>页面未展示</t>
        </is>
      </c>
      <c r="L32" t="inlineStr">
        <is>
          <t>页面未展示</t>
        </is>
      </c>
      <c r="M32" t="inlineStr">
        <is>
          <t>负责AI动漫/短剧全流程执导，包括分镜规划、生成内容艺术把控、剪辑与调性校准。</t>
        </is>
      </c>
      <c r="N32" t="inlineStr">
        <is>
          <t>兼具导演思维、审美判断和制作执行能力。</t>
        </is>
      </c>
      <c r="O32" t="inlineStr">
        <is>
          <t>有完整AI动漫成片。</t>
        </is>
      </c>
      <c r="P32" t="inlineStr">
        <is>
          <t>AI生成, 分镜, 剪辑, 调色</t>
        </is>
      </c>
      <c r="Q32" t="inlineStr">
        <is>
          <t>虽然岗位名是制作，职责更接近AI动漫导演。</t>
        </is>
      </c>
      <c r="R32" s="2" t="str">
        <f>=HYPERLINK("https://m.zhipin.com/zhaopin/affc5f997c57e5661Hx50tS_Fw~~/", "https://m.zhipin.com/zhaopin/affc5f997c57e5661Hx50tS_Fw~~/")</f>
        <v>https://m.zhipin.com/zhaopin/affc5f997c57e5661Hx50tS_Fw~~/</v>
      </c>
      <c r="S32" s="3">
        <v>46263</v>
      </c>
      <c r="T32" t="inlineStr">
        <is>
          <t>Boss公开移动列表页摘要；详情页受安全验证限制。</t>
        </is>
      </c>
    </row>
    <row r="33" ht="25.5" customHeight="1">
      <c r="A33" t="inlineStr">
        <is>
          <t>AIGC动漫制作师</t>
        </is>
      </c>
      <c r="B33" t="inlineStr">
        <is>
          <t>成都九加壹文化传媒</t>
        </is>
      </c>
      <c r="C33" t="inlineStr">
        <is>
          <t>AI漫剧制作</t>
        </is>
      </c>
      <c r="D33" t="inlineStr">
        <is>
          <t>6-10K</t>
        </is>
      </c>
      <c r="E33">
        <v>6</v>
      </c>
      <c r="F33">
        <v>10</v>
      </c>
      <c r="G33" t="inlineStr">
        <is>
          <t>成都金牛区茶店子</t>
        </is>
      </c>
      <c r="H33" t="inlineStr">
        <is>
          <t>1-3年</t>
        </is>
      </c>
      <c r="I33" t="inlineStr">
        <is>
          <t>学历不限</t>
        </is>
      </c>
      <c r="J33" t="inlineStr">
        <is>
          <t>页面未展示</t>
        </is>
      </c>
      <c r="K33" t="inlineStr">
        <is>
          <t>页面未展示</t>
        </is>
      </c>
      <c r="L33" t="inlineStr">
        <is>
          <t>页面未展示</t>
        </is>
      </c>
      <c r="M33" t="inlineStr">
        <is>
          <t>按剧本生成成熟、流畅的AI仿真剧视频并完成全流程制作。</t>
        </is>
      </c>
      <c r="N33" t="inlineStr">
        <is>
          <t>熟悉至少两种AI制作软件，理解完整制作流程，沟通能力良好。</t>
        </is>
      </c>
      <c r="O33" t="inlineStr">
        <is>
          <t>有AI仿真剧经验。</t>
        </is>
      </c>
      <c r="P33" t="inlineStr">
        <is>
          <t>AI视频工具, 全流程制作</t>
        </is>
      </c>
      <c r="Q33" t="inlineStr">
        <is>
          <t>招聘明确偏有经验的AI仿真剧制作师。</t>
        </is>
      </c>
      <c r="R33" s="2" t="str">
        <f>=HYPERLINK("https://m.zhipin.com/zhaopin/affc5f997c57e5661Hx50tS_Fw~~/", "https://m.zhipin.com/zhaopin/affc5f997c57e5661Hx50tS_Fw~~/")</f>
        <v>https://m.zhipin.com/zhaopin/affc5f997c57e5661Hx50tS_Fw~~/</v>
      </c>
      <c r="S33" s="3">
        <v>46263</v>
      </c>
      <c r="T33" t="inlineStr">
        <is>
          <t>Boss公开移动列表页摘要；详情页受安全验证限制。</t>
        </is>
      </c>
    </row>
    <row r="34" ht="25.5" customHeight="1">
      <c r="A34" t="inlineStr">
        <is>
          <t>AIGC制作</t>
        </is>
      </c>
      <c r="B34" t="inlineStr">
        <is>
          <t>成都唯快不破网络科技</t>
        </is>
      </c>
      <c r="C34" t="inlineStr">
        <is>
          <t>AI漫剧制作</t>
        </is>
      </c>
      <c r="D34" t="inlineStr">
        <is>
          <t>4-7K</t>
        </is>
      </c>
      <c r="E34">
        <v>4</v>
      </c>
      <c r="F34">
        <v>7</v>
      </c>
      <c r="G34" t="inlineStr">
        <is>
          <t>成都武侯区双楠</t>
        </is>
      </c>
      <c r="H34" t="inlineStr">
        <is>
          <t>1年以内</t>
        </is>
      </c>
      <c r="I34" t="inlineStr">
        <is>
          <t>大专</t>
        </is>
      </c>
      <c r="J34" t="inlineStr">
        <is>
          <t>页面未展示</t>
        </is>
      </c>
      <c r="K34" t="inlineStr">
        <is>
          <t>页面未展示</t>
        </is>
      </c>
      <c r="L34" t="inlineStr">
        <is>
          <t>页面未展示</t>
        </is>
      </c>
      <c r="M34" t="inlineStr">
        <is>
          <t>使用AI生图工具服务男频小说、动漫和短剧的视觉生产。</t>
        </is>
      </c>
      <c r="N34" t="inlineStr">
        <is>
          <t>熟练操作电脑；热爱男频内容；有审美并掌握出图能力。</t>
        </is>
      </c>
      <c r="O34" t="inlineStr">
        <is>
          <t>周末双休、五险一金；男频网文经验。</t>
        </is>
      </c>
      <c r="P34" t="inlineStr">
        <is>
          <t>Stable Diffusion, 即梦, Midjourney</t>
        </is>
      </c>
      <c r="Q34" t="inlineStr">
        <is>
          <t>入门至初级AIGC出图岗位。</t>
        </is>
      </c>
      <c r="R34" s="2" t="str">
        <f>=HYPERLINK("https://m.zhipin.com/zhaopin/affc5f997c57e5661Hx50tS_Fw~~/", "https://m.zhipin.com/zhaopin/affc5f997c57e5661Hx50tS_Fw~~/")</f>
        <v>https://m.zhipin.com/zhaopin/affc5f997c57e5661Hx50tS_Fw~~/</v>
      </c>
      <c r="S34" s="3">
        <v>46263</v>
      </c>
      <c r="T34" t="inlineStr">
        <is>
          <t>Boss公开移动列表页摘要；详情页受安全验证限制。</t>
        </is>
      </c>
    </row>
    <row r="35" ht="25.5" customHeight="1">
      <c r="A35" t="inlineStr">
        <is>
          <t>AI真人短剧制作</t>
        </is>
      </c>
      <c r="B35" t="inlineStr">
        <is>
          <t>光合能量</t>
        </is>
      </c>
      <c r="C35" t="inlineStr">
        <is>
          <t>AI漫剧制作</t>
        </is>
      </c>
      <c r="D35" t="inlineStr">
        <is>
          <t>5-8K</t>
        </is>
      </c>
      <c r="E35">
        <v>5</v>
      </c>
      <c r="F35">
        <v>8</v>
      </c>
      <c r="G35" t="inlineStr">
        <is>
          <t>成都武侯区中和</t>
        </is>
      </c>
      <c r="H35" t="inlineStr">
        <is>
          <t>1年以内</t>
        </is>
      </c>
      <c r="I35" t="inlineStr">
        <is>
          <t>大专</t>
        </is>
      </c>
      <c r="J35" t="inlineStr">
        <is>
          <t>页面未展示</t>
        </is>
      </c>
      <c r="K35" t="inlineStr">
        <is>
          <t>页面未展示</t>
        </is>
      </c>
      <c r="L35" t="inlineStr">
        <is>
          <t>页面未展示</t>
        </is>
      </c>
      <c r="M35" t="inlineStr">
        <is>
          <t>参与AI真人短剧的内容策划与制作，协助优化剧本与角色设定。</t>
        </is>
      </c>
      <c r="N35" t="inlineStr">
        <is>
          <t>动画、漫画、剧情或影视背景均可；应届生可投。</t>
        </is>
      </c>
      <c r="O35" t="inlineStr">
        <is>
          <t>影视相关从业经验优先；双休和五险一金。</t>
        </is>
      </c>
      <c r="P35" t="inlineStr">
        <is>
          <t>AI真人短剧, 剧本, 角色设定</t>
        </is>
      </c>
      <c r="Q35" t="inlineStr">
        <is>
          <t>对相关专业新人相对友好。</t>
        </is>
      </c>
      <c r="R35" s="2" t="str">
        <f>=HYPERLINK("https://m.zhipin.com/zhaopin/affc5f997c57e5661Hx50tS_Fw~~/", "https://m.zhipin.com/zhaopin/affc5f997c57e5661Hx50tS_Fw~~/")</f>
        <v>https://m.zhipin.com/zhaopin/affc5f997c57e5661Hx50tS_Fw~~/</v>
      </c>
      <c r="S35" s="3">
        <v>46263</v>
      </c>
      <c r="T35" t="inlineStr">
        <is>
          <t>Boss公开移动列表页摘要；详情页受安全验证限制。</t>
        </is>
      </c>
    </row>
    <row r="36" ht="25.5" customHeight="1">
      <c r="A36" t="inlineStr">
        <is>
          <t>AI漫剧制作 / AIGC动画师</t>
        </is>
      </c>
      <c r="B36" t="inlineStr">
        <is>
          <t>成都金色麦芒文化传媒</t>
        </is>
      </c>
      <c r="C36" t="inlineStr">
        <is>
          <t>AI漫剧制作</t>
        </is>
      </c>
      <c r="D36" t="inlineStr">
        <is>
          <t>5-10K</t>
        </is>
      </c>
      <c r="E36">
        <v>5</v>
      </c>
      <c r="F36">
        <v>10</v>
      </c>
      <c r="G36" t="inlineStr">
        <is>
          <t>成都金牛区人民北路</t>
        </is>
      </c>
      <c r="H36" t="inlineStr">
        <is>
          <t>1年以内</t>
        </is>
      </c>
      <c r="I36" t="inlineStr">
        <is>
          <t>大专</t>
        </is>
      </c>
      <c r="J36" t="inlineStr">
        <is>
          <t>页面未展示</t>
        </is>
      </c>
      <c r="K36" t="inlineStr">
        <is>
          <t>页面未展示</t>
        </is>
      </c>
      <c r="L36" t="inlineStr">
        <is>
          <t>页面未展示</t>
        </is>
      </c>
      <c r="M36" t="inlineStr">
        <is>
          <t>参与AI动态漫内容的制作和交付，服务爆款短剧赛道。</t>
        </is>
      </c>
      <c r="N36" t="inlineStr">
        <is>
          <t>具备AI动态漫基础制作能力。</t>
        </is>
      </c>
      <c r="O36" t="inlineStr">
        <is>
          <t>了解发行、承制或短剧商业链路。</t>
        </is>
      </c>
      <c r="P36" t="inlineStr">
        <is>
          <t>AI动态漫, AIGC动画</t>
        </is>
      </c>
      <c r="Q36" t="inlineStr">
        <is>
          <t>公司业务覆盖发行、承制与培训。</t>
        </is>
      </c>
      <c r="R36" s="2" t="str">
        <f>=HYPERLINK("https://m.zhipin.com/zhaopin/affc5f997c57e5661Hx50tS_Fw~~/", "https://m.zhipin.com/zhaopin/affc5f997c57e5661Hx50tS_Fw~~/")</f>
        <v>https://m.zhipin.com/zhaopin/affc5f997c57e5661Hx50tS_Fw~~/</v>
      </c>
      <c r="S36" s="3">
        <v>46263</v>
      </c>
      <c r="T36" t="inlineStr">
        <is>
          <t>Boss公开移动列表页摘要；详情页受安全验证限制。</t>
        </is>
      </c>
    </row>
    <row r="37" ht="25.5" customHeight="1">
      <c r="A37" t="inlineStr">
        <is>
          <t>动漫设计师 / AI生图师</t>
        </is>
      </c>
      <c r="B37" t="inlineStr">
        <is>
          <t>成都梅花鹿文化传播</t>
        </is>
      </c>
      <c r="C37" t="inlineStr">
        <is>
          <t>AI漫剧制作</t>
        </is>
      </c>
      <c r="D37" t="inlineStr">
        <is>
          <t>4-8K</t>
        </is>
      </c>
      <c r="E37">
        <v>4</v>
      </c>
      <c r="F37">
        <v>8</v>
      </c>
      <c r="G37" t="inlineStr">
        <is>
          <t>成都温江区柳城</t>
        </is>
      </c>
      <c r="H37" t="inlineStr">
        <is>
          <t>经验不限</t>
        </is>
      </c>
      <c r="I37" t="inlineStr">
        <is>
          <t>学历不限</t>
        </is>
      </c>
      <c r="J37" t="inlineStr">
        <is>
          <t>页面未展示</t>
        </is>
      </c>
      <c r="K37" t="inlineStr">
        <is>
          <t>页面未展示</t>
        </is>
      </c>
      <c r="L37" t="inlineStr">
        <is>
          <t>页面未展示</t>
        </is>
      </c>
      <c r="M37" t="inlineStr">
        <is>
          <t>负责AI生图和动漫视觉设计，按项目要求稳定产出角色与场景。</t>
        </is>
      </c>
      <c r="N37" t="inlineStr">
        <is>
          <t>具备基础美术与AI出图能力，接受试岗。</t>
        </is>
      </c>
      <c r="O37" t="inlineStr">
        <is>
          <t>有动漫、美术设计或高效出图作品。</t>
        </is>
      </c>
      <c r="P37" t="inlineStr">
        <is>
          <t>AI生图, 动漫设计</t>
        </is>
      </c>
      <c r="Q37" t="inlineStr">
        <is>
          <t>薪资为底薪加提成，页面显示单双休。</t>
        </is>
      </c>
      <c r="R37" s="2" t="str">
        <f>=HYPERLINK("https://m.zhipin.com/zhaopin/affc5f997c57e5661Hx50tS_Fw~~/", "https://m.zhipin.com/zhaopin/affc5f997c57e5661Hx50tS_Fw~~/")</f>
        <v>https://m.zhipin.com/zhaopin/affc5f997c57e5661Hx50tS_Fw~~/</v>
      </c>
      <c r="S37" s="3">
        <v>46263</v>
      </c>
      <c r="T37" t="inlineStr">
        <is>
          <t>Boss公开移动列表页摘要；详情页受安全验证限制。</t>
        </is>
      </c>
    </row>
    <row r="38" ht="25.5" customHeight="1">
      <c r="A38" t="inlineStr">
        <is>
          <t>AI漫剧导演</t>
        </is>
      </c>
      <c r="B38" t="inlineStr">
        <is>
          <t>奇风开拓</t>
        </is>
      </c>
      <c r="C38" t="inlineStr">
        <is>
          <t>导演/编导</t>
        </is>
      </c>
      <c r="D38" t="inlineStr">
        <is>
          <t>8-13K</t>
        </is>
      </c>
      <c r="E38">
        <v>8</v>
      </c>
      <c r="F38">
        <v>13</v>
      </c>
      <c r="G38" t="inlineStr">
        <is>
          <t>成都双流区华阳</t>
        </is>
      </c>
      <c r="H38" t="inlineStr">
        <is>
          <t>1-3年</t>
        </is>
      </c>
      <c r="I38" t="inlineStr">
        <is>
          <t>大专</t>
        </is>
      </c>
      <c r="J38" t="inlineStr">
        <is>
          <t>文化艺术/娱乐</t>
        </is>
      </c>
      <c r="K38" t="inlineStr">
        <is>
          <t>未融资</t>
        </is>
      </c>
      <c r="L38" t="inlineStr">
        <is>
          <t>20-99人</t>
        </is>
      </c>
      <c r="M38" t="inlineStr">
        <is>
          <t>主导AI动漫短剧全流程，深度理解剧本并把控人物情绪、剧情节奏和最终质量。</t>
        </is>
      </c>
      <c r="N38" t="inlineStr">
        <is>
          <t>有AI制作经验与导演能力，能对项目结果负责。</t>
        </is>
      </c>
      <c r="O38" t="inlineStr">
        <is>
          <t>有爆款漫剧或完整项目主导案例。</t>
        </is>
      </c>
      <c r="P38" t="inlineStr">
        <is>
          <t>剧本分析, AI制作, 导演, 剪辑</t>
        </is>
      </c>
      <c r="Q38" t="inlineStr">
        <is>
          <t>全流程质量负责人岗位。</t>
        </is>
      </c>
      <c r="R38" s="2" t="str">
        <f>=HYPERLINK("https://www.zhipin.com/zhaopin/10a7a04afc2ccf400HR62tq4/", "https://www.zhipin.com/zhaopin/10a7a04afc2ccf400HR62tq4/")</f>
        <v>https://www.zhipin.com/zhaopin/10a7a04afc2ccf400HR62tq4/</v>
      </c>
      <c r="S38" s="3">
        <v>46263</v>
      </c>
      <c r="T38" t="inlineStr">
        <is>
          <t>Boss公开列表页摘要；详情页受安全验证限制。</t>
        </is>
      </c>
    </row>
    <row r="39" ht="25.5" customHeight="1">
      <c r="A39" t="inlineStr">
        <is>
          <t>AI导演</t>
        </is>
      </c>
      <c r="B39" t="inlineStr">
        <is>
          <t>玄鸟九歌</t>
        </is>
      </c>
      <c r="C39" t="inlineStr">
        <is>
          <t>导演/编导</t>
        </is>
      </c>
      <c r="D39" t="inlineStr">
        <is>
          <t>15-20K</t>
        </is>
      </c>
      <c r="E39">
        <v>15</v>
      </c>
      <c r="F39">
        <v>20</v>
      </c>
      <c r="G39" t="inlineStr">
        <is>
          <t>成都武侯区中和</t>
        </is>
      </c>
      <c r="H39" t="inlineStr">
        <is>
          <t>3-5年</t>
        </is>
      </c>
      <c r="I39" t="inlineStr">
        <is>
          <t>大专</t>
        </is>
      </c>
      <c r="J39" t="inlineStr">
        <is>
          <t>人工智能</t>
        </is>
      </c>
      <c r="K39" t="inlineStr">
        <is>
          <t>页面未展示</t>
        </is>
      </c>
      <c r="L39" t="inlineStr">
        <is>
          <t>0-20人</t>
        </is>
      </c>
      <c r="M39" t="inlineStr">
        <is>
          <t>主导AI仿真人剧和动态漫内容方向，统筹选题、剧本、分镜、视觉风格并搭建工作流。</t>
        </is>
      </c>
      <c r="N39" t="inlineStr">
        <is>
          <t>具备内容统筹、团队管理与AI工作流能力。</t>
        </is>
      </c>
      <c r="O39" t="inlineStr">
        <is>
          <t>可Base成都或西安；有流程标准化经验。</t>
        </is>
      </c>
      <c r="P39" t="inlineStr">
        <is>
          <t>AI工作流, 剧本, 分镜, 视觉统筹</t>
        </is>
      </c>
      <c r="Q39" t="inlineStr">
        <is>
          <t>复合型内容负责人，薪资在成都样本中偏高。</t>
        </is>
      </c>
      <c r="R39" s="2" t="str">
        <f>=HYPERLINK("https://www.zhipin.com/zhaopin/10a7a04afc2ccf400HR62tq4/", "https://www.zhipin.com/zhaopin/10a7a04afc2ccf400HR62tq4/")</f>
        <v>https://www.zhipin.com/zhaopin/10a7a04afc2ccf400HR62tq4/</v>
      </c>
      <c r="S39" s="3">
        <v>46263</v>
      </c>
      <c r="T39" t="inlineStr">
        <is>
          <t>Boss公开列表页摘要；详情页受安全验证限制。</t>
        </is>
      </c>
    </row>
    <row r="40" ht="25.5" customHeight="1">
      <c r="A40" t="inlineStr">
        <is>
          <t>AI导演</t>
        </is>
      </c>
      <c r="B40" t="inlineStr">
        <is>
          <t>蓝湾博阅</t>
        </is>
      </c>
      <c r="C40" t="inlineStr">
        <is>
          <t>导演/编导</t>
        </is>
      </c>
      <c r="D40" t="inlineStr">
        <is>
          <t>10-15K</t>
        </is>
      </c>
      <c r="E40">
        <v>10</v>
      </c>
      <c r="F40">
        <v>15</v>
      </c>
      <c r="G40" t="inlineStr">
        <is>
          <t>成都武侯区紫荆</t>
        </is>
      </c>
      <c r="H40" t="inlineStr">
        <is>
          <t>1-3年</t>
        </is>
      </c>
      <c r="I40" t="inlineStr">
        <is>
          <t>大专</t>
        </is>
      </c>
      <c r="J40" t="inlineStr">
        <is>
          <t>社交网络与媒体</t>
        </is>
      </c>
      <c r="K40" t="inlineStr">
        <is>
          <t>C轮</t>
        </is>
      </c>
      <c r="L40" t="inlineStr">
        <is>
          <t>100-499人</t>
        </is>
      </c>
      <c r="M40" t="inlineStr">
        <is>
          <t>负责真人AI内容制作与导演执行，使用镜头语言完成内容落地。</t>
        </is>
      </c>
      <c r="N40" t="inlineStr">
        <is>
          <t>至少1年AI制作经验；有美学基础、导演能力和沟通能力。</t>
        </is>
      </c>
      <c r="O40" t="inlineStr">
        <is>
          <t>五险一金；真人AI项目经验。</t>
        </is>
      </c>
      <c r="P40" t="inlineStr">
        <is>
          <t>AI制作, 镜头语言, 导演</t>
        </is>
      </c>
      <c r="Q40" t="inlineStr">
        <is>
          <t>岗位强调审美、镜头和沟通三项能力。</t>
        </is>
      </c>
      <c r="R40" s="2" t="str">
        <f>=HYPERLINK("https://www.zhipin.com/zhaopin/10a7a04afc2ccf400HR62tq4/", "https://www.zhipin.com/zhaopin/10a7a04afc2ccf400HR62tq4/")</f>
        <v>https://www.zhipin.com/zhaopin/10a7a04afc2ccf400HR62tq4/</v>
      </c>
      <c r="S40" s="3">
        <v>46263</v>
      </c>
      <c r="T40" t="inlineStr">
        <is>
          <t>Boss公开列表页摘要；详情页受安全验证限制。</t>
        </is>
      </c>
    </row>
    <row r="41" ht="25.5" customHeight="1">
      <c r="A41" t="inlineStr">
        <is>
          <t>AI漫剧导演</t>
        </is>
      </c>
      <c r="B41" t="inlineStr">
        <is>
          <t>蜜糖网络</t>
        </is>
      </c>
      <c r="C41" t="inlineStr">
        <is>
          <t>导演/编导</t>
        </is>
      </c>
      <c r="D41" t="inlineStr">
        <is>
          <t>8-13K</t>
        </is>
      </c>
      <c r="E41">
        <v>8</v>
      </c>
      <c r="F41">
        <v>13</v>
      </c>
      <c r="G41" t="inlineStr">
        <is>
          <t>成都双流区天府新区</t>
        </is>
      </c>
      <c r="H41" t="inlineStr">
        <is>
          <t>3-5年</t>
        </is>
      </c>
      <c r="I41" t="inlineStr">
        <is>
          <t>本科</t>
        </is>
      </c>
      <c r="J41" t="inlineStr">
        <is>
          <t>互联网</t>
        </is>
      </c>
      <c r="K41" t="inlineStr">
        <is>
          <t>不需要融资</t>
        </is>
      </c>
      <c r="L41" t="inlineStr">
        <is>
          <t>100-499人</t>
        </is>
      </c>
      <c r="M41" t="inlineStr">
        <is>
          <t>统筹剧本解读、分镜撰写、创意落地与成片交付，把控进度和质量。</t>
        </is>
      </c>
      <c r="N41" t="inlineStr">
        <is>
          <t>有短剧项目管理和AI创作经验，能对成片负责。</t>
        </is>
      </c>
      <c r="O41" t="inlineStr">
        <is>
          <t>完整项目负责人经历。</t>
        </is>
      </c>
      <c r="P41" t="inlineStr">
        <is>
          <t>剧本, 分镜, AI制作, 项目管理</t>
        </is>
      </c>
      <c r="Q41" t="inlineStr">
        <is>
          <t>典型AI短剧项目负责人岗位。</t>
        </is>
      </c>
      <c r="R41" s="2" t="str">
        <f>=HYPERLINK("https://www.zhipin.com/zhaopin/10a7a04afc2ccf400HR62tq4/", "https://www.zhipin.com/zhaopin/10a7a04afc2ccf400HR62tq4/")</f>
        <v>https://www.zhipin.com/zhaopin/10a7a04afc2ccf400HR62tq4/</v>
      </c>
      <c r="S41" s="3">
        <v>46263</v>
      </c>
      <c r="T41" t="inlineStr">
        <is>
          <t>Boss公开列表页摘要；详情页受安全验证限制。</t>
        </is>
      </c>
    </row>
    <row r="42" ht="25.5" customHeight="1">
      <c r="A42" t="inlineStr">
        <is>
          <t>AI动态漫导演</t>
        </is>
      </c>
      <c r="B42" t="inlineStr">
        <is>
          <t>成都漫星未来文化传媒</t>
        </is>
      </c>
      <c r="C42" t="inlineStr">
        <is>
          <t>导演/编导</t>
        </is>
      </c>
      <c r="D42" t="inlineStr">
        <is>
          <t>15-26K</t>
        </is>
      </c>
      <c r="E42">
        <v>15</v>
      </c>
      <c r="F42">
        <v>26</v>
      </c>
      <c r="G42" t="inlineStr">
        <is>
          <t>成都武侯区成都高新区</t>
        </is>
      </c>
      <c r="H42" t="inlineStr">
        <is>
          <t>经验不限</t>
        </is>
      </c>
      <c r="I42" t="inlineStr">
        <is>
          <t>本科</t>
        </is>
      </c>
      <c r="J42" t="inlineStr">
        <is>
          <t>文化艺术/娱乐</t>
        </is>
      </c>
      <c r="K42" t="inlineStr">
        <is>
          <t>天使轮</t>
        </is>
      </c>
      <c r="L42" t="inlineStr">
        <is>
          <t>20-99人</t>
        </is>
      </c>
      <c r="M42" t="inlineStr">
        <is>
          <t>绘制动态分镜，明确表达镜头调度、人物表演和环境氛围，并快速理解剧本。</t>
        </is>
      </c>
      <c r="N42" t="inlineStr">
        <is>
          <t>精通镜头语言，具备剧本分析、节奏和表演设计能力。</t>
        </is>
      </c>
      <c r="O42" t="inlineStr">
        <is>
          <t>绘画分镜或动态预演能力。</t>
        </is>
      </c>
      <c r="P42" t="inlineStr">
        <is>
          <t>动态分镜, 镜头调度, 剧本分析</t>
        </is>
      </c>
      <c r="Q42" t="inlineStr">
        <is>
          <t>更偏传统导演与分镜能力，AI是制作场景。</t>
        </is>
      </c>
      <c r="R42" s="2" t="str">
        <f>=HYPERLINK("https://www.zhipin.com/zhaopin/10a7a04afc2ccf400HR62tq4/", "https://www.zhipin.com/zhaopin/10a7a04afc2ccf400HR62tq4/")</f>
        <v>https://www.zhipin.com/zhaopin/10a7a04afc2ccf400HR62tq4/</v>
      </c>
      <c r="S42" s="3">
        <v>46263</v>
      </c>
      <c r="T42" t="inlineStr">
        <is>
          <t>Boss公开列表页摘要；详情页受安全验证限制。</t>
        </is>
      </c>
    </row>
    <row r="43" ht="25.5" customHeight="1">
      <c r="A43" t="inlineStr">
        <is>
          <t>AI动漫导演</t>
        </is>
      </c>
      <c r="B43" t="inlineStr">
        <is>
          <t>成都微光聚梦文化传播</t>
        </is>
      </c>
      <c r="C43" t="inlineStr">
        <is>
          <t>导演/编导</t>
        </is>
      </c>
      <c r="D43" t="inlineStr">
        <is>
          <t>12-20K</t>
        </is>
      </c>
      <c r="E43">
        <v>12</v>
      </c>
      <c r="F43">
        <v>20</v>
      </c>
      <c r="G43" t="inlineStr">
        <is>
          <t>杭州滨江区浦沿</t>
        </is>
      </c>
      <c r="H43" t="inlineStr">
        <is>
          <t>经验不限</t>
        </is>
      </c>
      <c r="I43" t="inlineStr">
        <is>
          <t>学历不限</t>
        </is>
      </c>
      <c r="J43" t="inlineStr">
        <is>
          <t>广播/影视</t>
        </is>
      </c>
      <c r="K43" t="inlineStr">
        <is>
          <t>未融资</t>
        </is>
      </c>
      <c r="L43" t="inlineStr">
        <is>
          <t>100-499人</t>
        </is>
      </c>
      <c r="M43" t="inlineStr">
        <is>
          <t>负责AI动漫或短剧的导演工作，核心考察讲故事能力。</t>
        </is>
      </c>
      <c r="N43" t="inlineStr">
        <is>
          <t>动画、导演或艺术相关专业优先；有动漫/短剧经验与导演经历。</t>
        </is>
      </c>
      <c r="O43" t="inlineStr">
        <is>
          <t>一年以上动漫公司导演经验。</t>
        </is>
      </c>
      <c r="P43" t="inlineStr">
        <is>
          <t>故事能力, 导演, 动画制作</t>
        </is>
      </c>
      <c r="Q43" t="inlineStr">
        <is>
          <t>岗位地点杭州，招聘页公司名显示为成都公司。</t>
        </is>
      </c>
      <c r="R43" s="2" t="str">
        <f>=HYPERLINK("https://www.zhipin.com/zhaopin/65b917965cd5b8a11HV639W7EQ~~/", "https://www.zhipin.com/zhaopin/65b917965cd5b8a11HV639W7EQ~~/")</f>
        <v>https://www.zhipin.com/zhaopin/65b917965cd5b8a11HV639W7EQ~~/</v>
      </c>
      <c r="S43" s="3">
        <v>46263</v>
      </c>
      <c r="T43" t="inlineStr">
        <is>
          <t>Boss公开列表页摘要；公司与城市组合按页面原文保留。</t>
        </is>
      </c>
    </row>
    <row r="44" ht="25.5" customHeight="1">
      <c r="A44" t="inlineStr">
        <is>
          <t>AI漫剧导演/编导</t>
        </is>
      </c>
      <c r="B44" t="inlineStr">
        <is>
          <t>杭州兔皮鸭科技</t>
        </is>
      </c>
      <c r="C44" t="inlineStr">
        <is>
          <t>导演/编导</t>
        </is>
      </c>
      <c r="D44" t="inlineStr">
        <is>
          <t>10-15K</t>
        </is>
      </c>
      <c r="E44">
        <v>10</v>
      </c>
      <c r="F44">
        <v>15</v>
      </c>
      <c r="G44" t="inlineStr">
        <is>
          <t>杭州余杭区仓前</t>
        </is>
      </c>
      <c r="H44" t="inlineStr">
        <is>
          <t>3-5年</t>
        </is>
      </c>
      <c r="I44" t="inlineStr">
        <is>
          <t>学历不限</t>
        </is>
      </c>
      <c r="J44" t="inlineStr">
        <is>
          <t>游戏</t>
        </is>
      </c>
      <c r="K44" t="inlineStr">
        <is>
          <t>A轮</t>
        </is>
      </c>
      <c r="L44" t="inlineStr">
        <is>
          <t>100-499人</t>
        </is>
      </c>
      <c r="M44" t="inlineStr">
        <is>
          <t>主导AI动漫项目全流程，把漫画、小说等IP转为可交付的AI动漫作品。</t>
        </is>
      </c>
      <c r="N44" t="inlineStr">
        <is>
          <t>具备IP改编、导演和AI工具执行经验。</t>
        </is>
      </c>
      <c r="O44" t="inlineStr">
        <is>
          <t>熟悉游戏或女性向内容。</t>
        </is>
      </c>
      <c r="P44" t="inlineStr">
        <is>
          <t>Runway, Pika, Midjourney, Stable Diffusion</t>
        </is>
      </c>
      <c r="Q44" t="inlineStr">
        <is>
          <t>导演/编导与AI制作工具深度结合。</t>
        </is>
      </c>
      <c r="R44" s="2" t="str">
        <f>=HYPERLINK("https://www.zhipin.com/zhaopin/65b917965cd5b8a11HV639W7EQ~~/", "https://www.zhipin.com/zhaopin/65b917965cd5b8a11HV639W7EQ~~/")</f>
        <v>https://www.zhipin.com/zhaopin/65b917965cd5b8a11HV639W7EQ~~/</v>
      </c>
      <c r="S44" s="3">
        <v>46263</v>
      </c>
      <c r="T44" t="inlineStr">
        <is>
          <t>Boss公开列表页摘要；详情页受安全验证限制。</t>
        </is>
      </c>
    </row>
    <row r="45" ht="25.5" customHeight="1">
      <c r="A45" t="inlineStr">
        <is>
          <t>AI短剧导演/动画师</t>
        </is>
      </c>
      <c r="B45" t="inlineStr">
        <is>
          <t>花笙书城</t>
        </is>
      </c>
      <c r="C45" t="inlineStr">
        <is>
          <t>导演/编导</t>
        </is>
      </c>
      <c r="D45" t="inlineStr">
        <is>
          <t>10-15K</t>
        </is>
      </c>
      <c r="E45">
        <v>10</v>
      </c>
      <c r="F45">
        <v>15</v>
      </c>
      <c r="G45" t="inlineStr">
        <is>
          <t>杭州拱墅区拱宸桥</t>
        </is>
      </c>
      <c r="H45" t="inlineStr">
        <is>
          <t>1-3年</t>
        </is>
      </c>
      <c r="I45" t="inlineStr">
        <is>
          <t>大专</t>
        </is>
      </c>
      <c r="J45" t="inlineStr">
        <is>
          <t>互联网</t>
        </is>
      </c>
      <c r="K45" t="inlineStr">
        <is>
          <t>D轮及以上</t>
        </is>
      </c>
      <c r="L45" t="inlineStr">
        <is>
          <t>500-999人</t>
        </is>
      </c>
      <c r="M45" t="inlineStr">
        <is>
          <t>为AI漫剧设计和迭代提示词，覆盖脚本、角色、场景和动画效果，提高生成质量。</t>
        </is>
      </c>
      <c r="N45" t="inlineStr">
        <is>
          <t>理解短剧制作流程，能把创作目标转为稳定提示词策略。</t>
        </is>
      </c>
      <c r="O45" t="inlineStr">
        <is>
          <t>有提示词体系或批量生产经验。</t>
        </is>
      </c>
      <c r="P45" t="inlineStr">
        <is>
          <t>Prompt, 角色, 场景, 动画生成</t>
        </is>
      </c>
      <c r="Q45" t="inlineStr">
        <is>
          <t>岗位把提示词策略作为核心职责。</t>
        </is>
      </c>
      <c r="R45" s="2" t="str">
        <f>=HYPERLINK("https://www.zhipin.com/zhaopin/65b917965cd5b8a11HV639W7EQ~~/", "https://www.zhipin.com/zhaopin/65b917965cd5b8a11HV639W7EQ~~/")</f>
        <v>https://www.zhipin.com/zhaopin/65b917965cd5b8a11HV639W7EQ~~/</v>
      </c>
      <c r="S45" s="3">
        <v>46263</v>
      </c>
      <c r="T45" t="inlineStr">
        <is>
          <t>Boss公开列表页摘要；详情页受安全验证限制。</t>
        </is>
      </c>
    </row>
    <row r="46" ht="25.5" customHeight="1">
      <c r="A46" t="inlineStr">
        <is>
          <t>AIGC分镜导演</t>
        </is>
      </c>
      <c r="B46" t="inlineStr">
        <is>
          <t>边锋</t>
        </is>
      </c>
      <c r="C46" t="inlineStr">
        <is>
          <t>导演/编导</t>
        </is>
      </c>
      <c r="D46" t="inlineStr">
        <is>
          <t>9-14K</t>
        </is>
      </c>
      <c r="E46">
        <v>9</v>
      </c>
      <c r="F46">
        <v>14</v>
      </c>
      <c r="G46" t="inlineStr">
        <is>
          <t>杭州滨江区浦沿</t>
        </is>
      </c>
      <c r="H46" t="inlineStr">
        <is>
          <t>5-10年</t>
        </is>
      </c>
      <c r="I46" t="inlineStr">
        <is>
          <t>本科</t>
        </is>
      </c>
      <c r="J46" t="inlineStr">
        <is>
          <t>游戏</t>
        </is>
      </c>
      <c r="K46" t="inlineStr">
        <is>
          <t>不需要融资</t>
        </is>
      </c>
      <c r="L46" t="inlineStr">
        <is>
          <t>500-999人</t>
        </is>
      </c>
      <c r="M46" t="inlineStr">
        <is>
          <t>深度解读影视、动画或短剧剧本，设计镜头号、景别、运镜、构图和时长。</t>
        </is>
      </c>
      <c r="N46" t="inlineStr">
        <is>
          <t>资深分镜与镜头语言能力，能梳理剧情和人物情绪。</t>
        </is>
      </c>
      <c r="O46" t="inlineStr">
        <is>
          <t>游戏或动画项目经验。</t>
        </is>
      </c>
      <c r="P46" t="inlineStr">
        <is>
          <t>分镜, 运镜, 构图, AIGC</t>
        </is>
      </c>
      <c r="Q46" t="inlineStr">
        <is>
          <t>传统分镜导演能力要求较高。</t>
        </is>
      </c>
      <c r="R46" s="2" t="str">
        <f>=HYPERLINK("https://www.zhipin.com/zhaopin/65b917965cd5b8a11HV639W7EQ~~/", "https://www.zhipin.com/zhaopin/65b917965cd5b8a11HV639W7EQ~~/")</f>
        <v>https://www.zhipin.com/zhaopin/65b917965cd5b8a11HV639W7EQ~~/</v>
      </c>
      <c r="S46" s="3">
        <v>46263</v>
      </c>
      <c r="T46" t="inlineStr">
        <is>
          <t>Boss公开列表页摘要；详情页受安全验证限制。</t>
        </is>
      </c>
    </row>
    <row r="47" ht="25.5" customHeight="1">
      <c r="A47" t="inlineStr">
        <is>
          <t>AIGC真人剧导演</t>
        </is>
      </c>
      <c r="B47" t="inlineStr">
        <is>
          <t>杭州尚扬传媒科技</t>
        </is>
      </c>
      <c r="C47" t="inlineStr">
        <is>
          <t>导演/编导</t>
        </is>
      </c>
      <c r="D47" t="inlineStr">
        <is>
          <t>11-20K</t>
        </is>
      </c>
      <c r="E47">
        <v>11</v>
      </c>
      <c r="F47">
        <v>20</v>
      </c>
      <c r="G47" t="inlineStr">
        <is>
          <t>杭州钱塘区金沙湖</t>
        </is>
      </c>
      <c r="H47" t="inlineStr">
        <is>
          <t>3-5年</t>
        </is>
      </c>
      <c r="I47" t="inlineStr">
        <is>
          <t>本科</t>
        </is>
      </c>
      <c r="J47" t="inlineStr">
        <is>
          <t>文化艺术/娱乐</t>
        </is>
      </c>
      <c r="K47" t="inlineStr">
        <is>
          <t>未融资</t>
        </is>
      </c>
      <c r="L47" t="inlineStr">
        <is>
          <t>0-20人</t>
        </is>
      </c>
      <c r="M47" t="inlineStr">
        <is>
          <t>理解文学剧本并与编剧沟通，独立绘制整部剧情分镜，明确景别、运镜、动作与对白。</t>
        </is>
      </c>
      <c r="N47" t="inlineStr">
        <is>
          <t>具备文学理解、导演沟通和完整分镜能力。</t>
        </is>
      </c>
      <c r="O47" t="inlineStr">
        <is>
          <t>真人剧、短剧导演经验。</t>
        </is>
      </c>
      <c r="P47" t="inlineStr">
        <is>
          <t>文学剧本, 分镜, 运镜, 角色表演</t>
        </is>
      </c>
      <c r="Q47" t="inlineStr">
        <is>
          <t>岗位偏AI真人剧前期导演与分镜。</t>
        </is>
      </c>
      <c r="R47" s="2" t="str">
        <f>=HYPERLINK("https://www.zhipin.com/zhaopin/65b917965cd5b8a11HV639W7EQ~~/", "https://www.zhipin.com/zhaopin/65b917965cd5b8a11HV639W7EQ~~/")</f>
        <v>https://www.zhipin.com/zhaopin/65b917965cd5b8a11HV639W7EQ~~/</v>
      </c>
      <c r="S47" s="3">
        <v>46263</v>
      </c>
      <c r="T47" t="inlineStr">
        <is>
          <t>Boss公开列表页摘要；详情页受安全验证限制。</t>
        </is>
      </c>
    </row>
    <row r="48" ht="25.5" customHeight="1">
      <c r="A48" t="inlineStr">
        <is>
          <t>AI短剧导演</t>
        </is>
      </c>
      <c r="B48" t="inlineStr">
        <is>
          <t>嘉兴九州文化传媒</t>
        </is>
      </c>
      <c r="C48" t="inlineStr">
        <is>
          <t>导演/编导</t>
        </is>
      </c>
      <c r="D48" t="inlineStr">
        <is>
          <t>10-15K</t>
        </is>
      </c>
      <c r="E48">
        <v>10</v>
      </c>
      <c r="F48">
        <v>15</v>
      </c>
      <c r="G48" t="inlineStr">
        <is>
          <t>杭州西湖区西溪</t>
        </is>
      </c>
      <c r="H48" t="inlineStr">
        <is>
          <t>1-3年</t>
        </is>
      </c>
      <c r="I48" t="inlineStr">
        <is>
          <t>大专</t>
        </is>
      </c>
      <c r="J48" t="inlineStr">
        <is>
          <t>社交网络与媒体</t>
        </is>
      </c>
      <c r="K48" t="inlineStr">
        <is>
          <t>A轮</t>
        </is>
      </c>
      <c r="L48" t="inlineStr">
        <is>
          <t>1000-9999人</t>
        </is>
      </c>
      <c r="M48" t="inlineStr">
        <is>
          <t>主导动漫短剧从脚本、分镜到动画制作和后期的质量与进度。</t>
        </is>
      </c>
      <c r="N48" t="inlineStr">
        <is>
          <t>能协调美术指导与编剧，承担全流程质量责任。</t>
        </is>
      </c>
      <c r="O48" t="inlineStr">
        <is>
          <t>大团队协作或规模化内容生产经验。</t>
        </is>
      </c>
      <c r="P48" t="inlineStr">
        <is>
          <t>脚本, 分镜, 动画, 后期</t>
        </is>
      </c>
      <c r="Q48" t="inlineStr">
        <is>
          <t>全流程导演，兼顾质量与进度。</t>
        </is>
      </c>
      <c r="R48" s="2" t="str">
        <f>=HYPERLINK("https://www.zhipin.com/zhaopin/65b917965cd5b8a11HV639W7EQ~~/", "https://www.zhipin.com/zhaopin/65b917965cd5b8a11HV639W7EQ~~/")</f>
        <v>https://www.zhipin.com/zhaopin/65b917965cd5b8a11HV639W7EQ~~/</v>
      </c>
      <c r="S48" s="3">
        <v>46263</v>
      </c>
      <c r="T48" t="inlineStr">
        <is>
          <t>Boss公开列表页摘要；详情页受安全验证限制。</t>
        </is>
      </c>
    </row>
    <row r="49" ht="25.5" customHeight="1">
      <c r="A49" t="inlineStr">
        <is>
          <t>AI漫剧导演</t>
        </is>
      </c>
      <c r="B49" t="inlineStr">
        <is>
          <t>杭州溯梦文化科技</t>
        </is>
      </c>
      <c r="C49" t="inlineStr">
        <is>
          <t>导演/编导</t>
        </is>
      </c>
      <c r="D49" t="inlineStr">
        <is>
          <t>18-30K</t>
        </is>
      </c>
      <c r="E49">
        <v>18</v>
      </c>
      <c r="F49">
        <v>30</v>
      </c>
      <c r="G49" t="inlineStr">
        <is>
          <t>杭州西湖区西溪</t>
        </is>
      </c>
      <c r="H49" t="inlineStr">
        <is>
          <t>1-3年</t>
        </is>
      </c>
      <c r="I49" t="inlineStr">
        <is>
          <t>学历不限</t>
        </is>
      </c>
      <c r="J49" t="inlineStr">
        <is>
          <t>广播/影视</t>
        </is>
      </c>
      <c r="K49" t="inlineStr">
        <is>
          <t>未融资</t>
        </is>
      </c>
      <c r="L49" t="inlineStr">
        <is>
          <t>20-99人</t>
        </is>
      </c>
      <c r="M49" t="inlineStr">
        <is>
          <t>主导AI漫剧全流程，将剧本或小说IP转为成熟动漫作品，把控风格、节奏和艺术表现。</t>
        </is>
      </c>
      <c r="N49" t="inlineStr">
        <is>
          <t>能承担创意、AI生成和最终成片质量。</t>
        </is>
      </c>
      <c r="O49" t="inlineStr">
        <is>
          <t>有头部AI漫剧或高播放作品。</t>
        </is>
      </c>
      <c r="P49" t="inlineStr">
        <is>
          <t>IP改编, AI生成, 导演, 后期</t>
        </is>
      </c>
      <c r="Q49" t="inlineStr">
        <is>
          <t>杭州样本中薪资较高的AI漫剧导演岗位。</t>
        </is>
      </c>
      <c r="R49" s="2" t="str">
        <f>=HYPERLINK("https://www.zhipin.com/zhaopin/65b917965cd5b8a11HV639W7EQ~~/", "https://www.zhipin.com/zhaopin/65b917965cd5b8a11HV639W7EQ~~/")</f>
        <v>https://www.zhipin.com/zhaopin/65b917965cd5b8a11HV639W7EQ~~/</v>
      </c>
      <c r="S49" s="3">
        <v>46263</v>
      </c>
      <c r="T49" t="inlineStr">
        <is>
          <t>Boss公开列表页摘要；详情页受安全验证限制。</t>
        </is>
      </c>
    </row>
    <row r="50" ht="25.5" customHeight="1">
      <c r="A50" t="inlineStr">
        <is>
          <t>AI漫剧导演</t>
        </is>
      </c>
      <c r="B50" t="inlineStr">
        <is>
          <t>欢瑞</t>
        </is>
      </c>
      <c r="C50" t="inlineStr">
        <is>
          <t>导演/编导</t>
        </is>
      </c>
      <c r="D50" t="inlineStr">
        <is>
          <t>15-25K·13薪</t>
        </is>
      </c>
      <c r="E50">
        <v>15</v>
      </c>
      <c r="F50">
        <v>25</v>
      </c>
      <c r="G50" t="inlineStr">
        <is>
          <t>杭州钱塘区和达东东城</t>
        </is>
      </c>
      <c r="H50" t="inlineStr">
        <is>
          <t>1-3年</t>
        </is>
      </c>
      <c r="I50" t="inlineStr">
        <is>
          <t>学历不限</t>
        </is>
      </c>
      <c r="J50" t="inlineStr">
        <is>
          <t>文化艺术/娱乐</t>
        </is>
      </c>
      <c r="K50" t="inlineStr">
        <is>
          <t>已上市</t>
        </is>
      </c>
      <c r="L50" t="inlineStr">
        <is>
          <t>100-499人</t>
        </is>
      </c>
      <c r="M50" t="inlineStr">
        <is>
          <t>统筹从剧本拆解、分镜、角色和风格设定，到AI生成、剪辑、配音配乐的全流程。</t>
        </is>
      </c>
      <c r="N50" t="inlineStr">
        <is>
          <t>具备团队统筹和全链路质量把控能力。</t>
        </is>
      </c>
      <c r="O50" t="inlineStr">
        <is>
          <t>上市影视公司项目经验。</t>
        </is>
      </c>
      <c r="P50" t="inlineStr">
        <is>
          <t>分镜, 角色设定, AI生成, 剪辑, 配音配乐</t>
        </is>
      </c>
      <c r="Q50" t="inlineStr">
        <is>
          <t>职责覆盖完整AI漫剧生产链。</t>
        </is>
      </c>
      <c r="R50" s="2" t="str">
        <f>=HYPERLINK("https://www.zhipin.com/zhaopin/65b917965cd5b8a11HV639W7EQ~~/", "https://www.zhipin.com/zhaopin/65b917965cd5b8a11HV639W7EQ~~/")</f>
        <v>https://www.zhipin.com/zhaopin/65b917965cd5b8a11HV639W7EQ~~/</v>
      </c>
      <c r="S50" s="3">
        <v>46263</v>
      </c>
      <c r="T50" t="inlineStr">
        <is>
          <t>Boss公开列表页摘要；详情页受安全验证限制。</t>
        </is>
      </c>
    </row>
    <row r="51" ht="25.5" customHeight="1">
      <c r="A51" t="inlineStr">
        <is>
          <t>AIGC漫剧导演</t>
        </is>
      </c>
      <c r="B51" t="inlineStr">
        <is>
          <t>浙江波米文化传媒</t>
        </is>
      </c>
      <c r="C51" t="inlineStr">
        <is>
          <t>导演/编导</t>
        </is>
      </c>
      <c r="D51" t="inlineStr">
        <is>
          <t>12-20K</t>
        </is>
      </c>
      <c r="E51">
        <v>12</v>
      </c>
      <c r="F51">
        <v>20</v>
      </c>
      <c r="G51" t="inlineStr">
        <is>
          <t>杭州滨江区长河</t>
        </is>
      </c>
      <c r="H51" t="inlineStr">
        <is>
          <t>1-3年</t>
        </is>
      </c>
      <c r="I51" t="inlineStr">
        <is>
          <t>本科</t>
        </is>
      </c>
      <c r="J51" t="inlineStr">
        <is>
          <t>互联网</t>
        </is>
      </c>
      <c r="K51" t="inlineStr">
        <is>
          <t>不需要融资</t>
        </is>
      </c>
      <c r="L51" t="inlineStr">
        <is>
          <t>20-99人</t>
        </is>
      </c>
      <c r="M51" t="inlineStr">
        <is>
          <t>负责角色、场景和分镜构思，生成图片与视频素材并优化成片视觉效果。</t>
        </is>
      </c>
      <c r="N51" t="inlineStr">
        <is>
          <t>能让分镜与故事匹配，并保持素材和成片质量。</t>
        </is>
      </c>
      <c r="O51" t="inlineStr">
        <is>
          <t>美术或镜头设计能力。</t>
        </is>
      </c>
      <c r="P51" t="inlineStr">
        <is>
          <t>AI生图, AI视频, 角色设定, 分镜</t>
        </is>
      </c>
      <c r="Q51" t="inlineStr">
        <is>
          <t>偏视觉导演与AI制作复合岗位。</t>
        </is>
      </c>
      <c r="R51" s="2" t="str">
        <f>=HYPERLINK("https://www.zhipin.com/zhaopin/65b917965cd5b8a11HV639W7EQ~~/", "https://www.zhipin.com/zhaopin/65b917965cd5b8a11HV639W7EQ~~/")</f>
        <v>https://www.zhipin.com/zhaopin/65b917965cd5b8a11HV639W7EQ~~/</v>
      </c>
      <c r="S51" s="3">
        <v>46263</v>
      </c>
      <c r="T51" t="inlineStr">
        <is>
          <t>Boss公开列表页摘要；详情页受安全验证限制。</t>
        </is>
      </c>
    </row>
    <row r="52" ht="25.5" customHeight="1">
      <c r="A52" t="inlineStr">
        <is>
          <t>AIGC视频制作人</t>
        </is>
      </c>
      <c r="B52" t="inlineStr">
        <is>
          <t>深圳市薇光点亮科技</t>
        </is>
      </c>
      <c r="C52" t="inlineStr">
        <is>
          <t>AI视频/AIGC制作</t>
        </is>
      </c>
      <c r="D52" t="inlineStr">
        <is>
          <t>300-500元/天</t>
        </is>
      </c>
      <c r="E52"/>
      <c r="F52"/>
      <c r="G52" t="inlineStr">
        <is>
          <t>深圳</t>
        </is>
      </c>
      <c r="H52" t="inlineStr">
        <is>
          <t>经验不限</t>
        </is>
      </c>
      <c r="I52" t="inlineStr">
        <is>
          <t>学历不限</t>
        </is>
      </c>
      <c r="J52" t="inlineStr">
        <is>
          <t>人工智能</t>
        </is>
      </c>
      <c r="K52" t="inlineStr">
        <is>
          <t>天使轮</t>
        </is>
      </c>
      <c r="L52" t="inlineStr">
        <is>
          <t>20-99人</t>
        </is>
      </c>
      <c r="M52" t="inlineStr">
        <is>
          <t>独立完成60-90秒商业TVC的策划、脚本、分镜、AIGC生成与成片。</t>
        </is>
      </c>
      <c r="N52" t="inlineStr">
        <is>
          <t>具备商业广告导演与完整交付能力；驻场保密。</t>
        </is>
      </c>
      <c r="O52" t="inlineStr">
        <is>
          <t>TVC、产品广告或品牌影片经验。</t>
        </is>
      </c>
      <c r="P52" t="inlineStr">
        <is>
          <t>AIGC, 脚本, 分镜, TVC</t>
        </is>
      </c>
      <c r="Q52" t="inlineStr">
        <is>
          <t>项目制日薪岗位，要求独立完成商业TVC。</t>
        </is>
      </c>
      <c r="R52" s="2" t="str">
        <f>=HYPERLINK("https://www.zhipin.com/zhaopin/38ba4f97dbbd8d150XN_2NW9/", "https://www.zhipin.com/zhaopin/38ba4f97dbbd8d150XN_2NW9/")</f>
        <v>https://www.zhipin.com/zhaopin/38ba4f97dbbd8d150XN_2NW9/</v>
      </c>
      <c r="S52" s="3">
        <v>46263</v>
      </c>
      <c r="T52" t="inlineStr">
        <is>
          <t>Boss公开列表页摘要；日薪未折算月薪。</t>
        </is>
      </c>
    </row>
    <row r="53" ht="25.5" customHeight="1">
      <c r="A53" t="inlineStr">
        <is>
          <t>AI视频制作</t>
        </is>
      </c>
      <c r="B53" t="inlineStr">
        <is>
          <t>文丰影视传媒有限公司</t>
        </is>
      </c>
      <c r="C53" t="inlineStr">
        <is>
          <t>AI视频/AIGC制作</t>
        </is>
      </c>
      <c r="D53" t="inlineStr">
        <is>
          <t>7-10K·13薪</t>
        </is>
      </c>
      <c r="E53">
        <v>7</v>
      </c>
      <c r="F53">
        <v>10</v>
      </c>
      <c r="G53" t="inlineStr">
        <is>
          <t>深圳宝安区西乡</t>
        </is>
      </c>
      <c r="H53" t="inlineStr">
        <is>
          <t>1-3年</t>
        </is>
      </c>
      <c r="I53" t="inlineStr">
        <is>
          <t>大专</t>
        </is>
      </c>
      <c r="J53" t="inlineStr">
        <is>
          <t>页面未展示</t>
        </is>
      </c>
      <c r="K53" t="inlineStr">
        <is>
          <t>页面未展示</t>
        </is>
      </c>
      <c r="L53" t="inlineStr">
        <is>
          <t>页面未展示</t>
        </is>
      </c>
      <c r="M53" t="inlineStr">
        <is>
          <t>理解项目需求和目标受众，完成视频主题策划，并用AI工具生成所需图片和视频素材。</t>
        </is>
      </c>
      <c r="N53" t="inlineStr">
        <is>
          <t>有创意策划、素材选择和视频后期能力。</t>
        </is>
      </c>
      <c r="O53" t="inlineStr">
        <is>
          <t>宣传片、海外推广或TVC经验。</t>
        </is>
      </c>
      <c r="P53" t="inlineStr">
        <is>
          <t>AI图像, AI视频, 素材库, 剪辑</t>
        </is>
      </c>
      <c r="Q53" t="inlineStr">
        <is>
          <t>负责宣传片、海外推广和产品片中的AI制作部分。</t>
        </is>
      </c>
      <c r="R53" s="2" t="str">
        <f>=HYPERLINK("https://m.zhipin.com/zhaopin/5a867a1e4aa760301H163du7FA~~/", "https://m.zhipin.com/zhaopin/5a867a1e4aa760301H163du7FA~~/")</f>
        <v>https://m.zhipin.com/zhaopin/5a867a1e4aa760301H163du7FA~~/</v>
      </c>
      <c r="S53" s="3">
        <v>46263</v>
      </c>
      <c r="T53" t="inlineStr">
        <is>
          <t>Boss公开移动列表页摘要；详情页受安全验证限制。</t>
        </is>
      </c>
    </row>
    <row r="54" ht="25.5" customHeight="1">
      <c r="A54" t="inlineStr">
        <is>
          <t>AIGC视频制作</t>
        </is>
      </c>
      <c r="B54" t="inlineStr">
        <is>
          <t>时刻文化</t>
        </is>
      </c>
      <c r="C54" t="inlineStr">
        <is>
          <t>AI视频/AIGC制作</t>
        </is>
      </c>
      <c r="D54" t="inlineStr">
        <is>
          <t>8-13K</t>
        </is>
      </c>
      <c r="E54">
        <v>8</v>
      </c>
      <c r="F54">
        <v>13</v>
      </c>
      <c r="G54" t="inlineStr">
        <is>
          <t>深圳南山区华侨城</t>
        </is>
      </c>
      <c r="H54" t="inlineStr">
        <is>
          <t>1-3年</t>
        </is>
      </c>
      <c r="I54" t="inlineStr">
        <is>
          <t>大专</t>
        </is>
      </c>
      <c r="J54" t="inlineStr">
        <is>
          <t>页面未展示</t>
        </is>
      </c>
      <c r="K54" t="inlineStr">
        <is>
          <t>页面未展示</t>
        </is>
      </c>
      <c r="L54" t="inlineStr">
        <is>
          <t>页面未展示</t>
        </is>
      </c>
      <c r="M54" t="inlineStr">
        <is>
          <t>负责AIGC视频制作，跨团队按期交付并持续优化生产流程。</t>
        </is>
      </c>
      <c r="N54" t="inlineStr">
        <is>
          <t>能稳定保障视频质量、创意表现和交付节奏。</t>
        </is>
      </c>
      <c r="O54" t="inlineStr">
        <is>
          <t>有流程优化或模板化生产经验。</t>
        </is>
      </c>
      <c r="P54" t="inlineStr">
        <is>
          <t>AIGC视频, 流程优化, 协作</t>
        </is>
      </c>
      <c r="Q54" t="inlineStr">
        <is>
          <t>职责较综合，强调质量、协作和效率。</t>
        </is>
      </c>
      <c r="R54" s="2" t="str">
        <f>=HYPERLINK("https://m.zhipin.com/zhaopin/5a867a1e4aa760301H163du7FA~~/", "https://m.zhipin.com/zhaopin/5a867a1e4aa760301H163du7FA~~/")</f>
        <v>https://m.zhipin.com/zhaopin/5a867a1e4aa760301H163du7FA~~/</v>
      </c>
      <c r="S54" s="3">
        <v>46263</v>
      </c>
      <c r="T54" t="inlineStr">
        <is>
          <t>Boss公开移动列表页摘要；详情页受安全验证限制。</t>
        </is>
      </c>
    </row>
    <row r="55" ht="25.5" customHeight="1">
      <c r="A55" t="inlineStr">
        <is>
          <t>AI动画导演</t>
        </is>
      </c>
      <c r="B55" t="inlineStr">
        <is>
          <t>深圳市蓝核像素科技</t>
        </is>
      </c>
      <c r="C55" t="inlineStr">
        <is>
          <t>导演/编导</t>
        </is>
      </c>
      <c r="D55" t="inlineStr">
        <is>
          <t>19-27K</t>
        </is>
      </c>
      <c r="E55">
        <v>19</v>
      </c>
      <c r="F55">
        <v>27</v>
      </c>
      <c r="G55" t="inlineStr">
        <is>
          <t>深圳南山区科技园</t>
        </is>
      </c>
      <c r="H55" t="inlineStr">
        <is>
          <t>1-3年</t>
        </is>
      </c>
      <c r="I55" t="inlineStr">
        <is>
          <t>本科</t>
        </is>
      </c>
      <c r="J55" t="inlineStr">
        <is>
          <t>互联网</t>
        </is>
      </c>
      <c r="K55" t="inlineStr">
        <is>
          <t>未融资</t>
        </is>
      </c>
      <c r="L55" t="inlineStr">
        <is>
          <t>0-20人</t>
        </is>
      </c>
      <c r="M55" t="inlineStr">
        <is>
          <t>使用AI工具完成漫剧/短剧分镜和视觉生成，承担创意设计与导演把控。</t>
        </is>
      </c>
      <c r="N55" t="inlineStr">
        <is>
          <t>具备AIGC视频生成、导演思维与审美。</t>
        </is>
      </c>
      <c r="O55" t="inlineStr">
        <is>
          <t>高质量漫剧或短剧作品。</t>
        </is>
      </c>
      <c r="P55" t="inlineStr">
        <is>
          <t>Stable Diffusion, Midjourney, 即梦</t>
        </is>
      </c>
      <c r="Q55" t="inlineStr">
        <is>
          <t>薪资较高，偏创意和导演型AIGC人才。</t>
        </is>
      </c>
      <c r="R55" s="2" t="str">
        <f>=HYPERLINK("https://www.zhipin.com/zhaopin/0b64e4fc1a9eeaae0XB609S5/", "https://www.zhipin.com/zhaopin/0b64e4fc1a9eeaae0XB609S5/")</f>
        <v>https://www.zhipin.com/zhaopin/0b64e4fc1a9eeaae0XB609S5/</v>
      </c>
      <c r="S55" s="3">
        <v>46263</v>
      </c>
      <c r="T55" t="inlineStr">
        <is>
          <t>Boss公开列表页摘要；详情页受安全验证限制。</t>
        </is>
      </c>
    </row>
    <row r="56" ht="25.5" customHeight="1">
      <c r="A56" t="inlineStr">
        <is>
          <t>AIGC动画导演</t>
        </is>
      </c>
      <c r="B56" t="inlineStr">
        <is>
          <t>山水原创</t>
        </is>
      </c>
      <c r="C56" t="inlineStr">
        <is>
          <t>导演/编导</t>
        </is>
      </c>
      <c r="D56" t="inlineStr">
        <is>
          <t>12-15K</t>
        </is>
      </c>
      <c r="E56">
        <v>12</v>
      </c>
      <c r="F56">
        <v>15</v>
      </c>
      <c r="G56" t="inlineStr">
        <is>
          <t>深圳南山区前海</t>
        </is>
      </c>
      <c r="H56" t="inlineStr">
        <is>
          <t>1-3年</t>
        </is>
      </c>
      <c r="I56" t="inlineStr">
        <is>
          <t>大专</t>
        </is>
      </c>
      <c r="J56" t="inlineStr">
        <is>
          <t>广播/影视</t>
        </is>
      </c>
      <c r="K56" t="inlineStr">
        <is>
          <t>B轮</t>
        </is>
      </c>
      <c r="L56" t="inlineStr">
        <is>
          <t>100-499人</t>
        </is>
      </c>
      <c r="M56" t="inlineStr">
        <is>
          <t>把控项目艺术风格、视听语言、叙事节奏和视觉审美，覆盖剧本、AI素材、剪辑和声音。</t>
        </is>
      </c>
      <c r="N56" t="inlineStr">
        <is>
          <t>能统筹多工种并对最终成品负责。</t>
        </is>
      </c>
      <c r="O56" t="inlineStr">
        <is>
          <t>动画导演或成熟内容团队经历。</t>
        </is>
      </c>
      <c r="P56" t="inlineStr">
        <is>
          <t>剧本, AI素材, 剪辑, 配音配乐</t>
        </is>
      </c>
      <c r="Q56" t="inlineStr">
        <is>
          <t>偏内容总控的AI动画导演。</t>
        </is>
      </c>
      <c r="R56" s="2" t="str">
        <f>=HYPERLINK("https://www.zhipin.com/zhaopin/0b64e4fc1a9eeaae0XB609S5/", "https://www.zhipin.com/zhaopin/0b64e4fc1a9eeaae0XB609S5/")</f>
        <v>https://www.zhipin.com/zhaopin/0b64e4fc1a9eeaae0XB609S5/</v>
      </c>
      <c r="S56" s="3">
        <v>46263</v>
      </c>
      <c r="T56" t="inlineStr">
        <is>
          <t>Boss公开列表页摘要；详情页受安全验证限制。</t>
        </is>
      </c>
    </row>
    <row r="57" ht="25.5" customHeight="1">
      <c r="A57" t="inlineStr">
        <is>
          <t>AI动画导演</t>
        </is>
      </c>
      <c r="B57" t="inlineStr">
        <is>
          <t>深圳钥洋网络科技</t>
        </is>
      </c>
      <c r="C57" t="inlineStr">
        <is>
          <t>导演/编导</t>
        </is>
      </c>
      <c r="D57" t="inlineStr">
        <is>
          <t>20-35K·14薪</t>
        </is>
      </c>
      <c r="E57">
        <v>20</v>
      </c>
      <c r="F57">
        <v>35</v>
      </c>
      <c r="G57" t="inlineStr">
        <is>
          <t>深圳南山区蛇口</t>
        </is>
      </c>
      <c r="H57" t="inlineStr">
        <is>
          <t>3-5年</t>
        </is>
      </c>
      <c r="I57" t="inlineStr">
        <is>
          <t>本科</t>
        </is>
      </c>
      <c r="J57" t="inlineStr">
        <is>
          <t>游戏</t>
        </is>
      </c>
      <c r="K57" t="inlineStr">
        <is>
          <t>不需要融资</t>
        </is>
      </c>
      <c r="L57" t="inlineStr">
        <is>
          <t>100-499人</t>
        </is>
      </c>
      <c r="M57" t="inlineStr">
        <is>
          <t>利用AI视频和专业剪辑工具，独立制作游戏CG、角色动作、互动剧情和营销广告。</t>
        </is>
      </c>
      <c r="N57" t="inlineStr">
        <is>
          <t>能高效独立完成高质量游戏视觉内容。</t>
        </is>
      </c>
      <c r="O57" t="inlineStr">
        <is>
          <t>游戏CG或宣发素材经验。</t>
        </is>
      </c>
      <c r="P57" t="inlineStr">
        <is>
          <t>AI视频, 剪辑, 游戏CG, 互动剧情</t>
        </is>
      </c>
      <c r="Q57" t="inlineStr">
        <is>
          <t>游戏方向高薪AI动画导演岗位。</t>
        </is>
      </c>
      <c r="R57" s="2" t="str">
        <f>=HYPERLINK("https://www.zhipin.com/zhaopin/0b64e4fc1a9eeaae0XB609S5/", "https://www.zhipin.com/zhaopin/0b64e4fc1a9eeaae0XB609S5/")</f>
        <v>https://www.zhipin.com/zhaopin/0b64e4fc1a9eeaae0XB609S5/</v>
      </c>
      <c r="S57" s="3">
        <v>46263</v>
      </c>
      <c r="T57" t="inlineStr">
        <is>
          <t>Boss公开列表页摘要；详情页受安全验证限制。</t>
        </is>
      </c>
    </row>
    <row r="58" ht="25.5" customHeight="1">
      <c r="A58" t="inlineStr">
        <is>
          <t>AI动画导演</t>
        </is>
      </c>
      <c r="B58" t="inlineStr">
        <is>
          <t>幻希赛隆</t>
        </is>
      </c>
      <c r="C58" t="inlineStr">
        <is>
          <t>导演/编导</t>
        </is>
      </c>
      <c r="D58" t="inlineStr">
        <is>
          <t>8-12K</t>
        </is>
      </c>
      <c r="E58">
        <v>8</v>
      </c>
      <c r="F58">
        <v>12</v>
      </c>
      <c r="G58" t="inlineStr">
        <is>
          <t>深圳南山区科技园</t>
        </is>
      </c>
      <c r="H58" t="inlineStr">
        <is>
          <t>1-3年</t>
        </is>
      </c>
      <c r="I58" t="inlineStr">
        <is>
          <t>大专</t>
        </is>
      </c>
      <c r="J58" t="inlineStr">
        <is>
          <t>互联网</t>
        </is>
      </c>
      <c r="K58" t="inlineStr">
        <is>
          <t>未融资</t>
        </is>
      </c>
      <c r="L58" t="inlineStr">
        <is>
          <t>0-20人</t>
        </is>
      </c>
      <c r="M58" t="inlineStr">
        <is>
          <t>参与AI影视剧的导演和制作，可全职、兼职或实习。</t>
        </is>
      </c>
      <c r="N58" t="inlineStr">
        <is>
          <t>编导、动画、美术、数字媒体等专业优先；有基础AI影像能力。</t>
        </is>
      </c>
      <c r="O58" t="inlineStr">
        <is>
          <t>应届生可投，表现优异可转正。</t>
        </is>
      </c>
      <c r="P58" t="inlineStr">
        <is>
          <t>AI影视, 导演, 动画</t>
        </is>
      </c>
      <c r="Q58" t="inlineStr">
        <is>
          <t>岗位形式灵活，对新人相对开放。</t>
        </is>
      </c>
      <c r="R58" s="2" t="str">
        <f>=HYPERLINK("https://www.zhipin.com/zhaopin/0b64e4fc1a9eeaae0XB609S5/", "https://www.zhipin.com/zhaopin/0b64e4fc1a9eeaae0XB609S5/")</f>
        <v>https://www.zhipin.com/zhaopin/0b64e4fc1a9eeaae0XB609S5/</v>
      </c>
      <c r="S58" s="3">
        <v>46263</v>
      </c>
      <c r="T58" t="inlineStr">
        <is>
          <t>Boss公开列表页摘要；详情页受安全验证限制。</t>
        </is>
      </c>
    </row>
    <row r="59" ht="25.5" customHeight="1">
      <c r="A59" t="inlineStr">
        <is>
          <t>AIGC内容制作</t>
        </is>
      </c>
      <c r="B59" t="inlineStr">
        <is>
          <t>深圳漫宸影业有限公司</t>
        </is>
      </c>
      <c r="C59" t="inlineStr">
        <is>
          <t>AI漫剧制作</t>
        </is>
      </c>
      <c r="D59" t="inlineStr">
        <is>
          <t>2-4K</t>
        </is>
      </c>
      <c r="E59">
        <v>2</v>
      </c>
      <c r="F59">
        <v>4</v>
      </c>
      <c r="G59" t="inlineStr">
        <is>
          <t>深圳龙岗区布吉</t>
        </is>
      </c>
      <c r="H59" t="inlineStr">
        <is>
          <t>1-3年</t>
        </is>
      </c>
      <c r="I59" t="inlineStr">
        <is>
          <t>大专</t>
        </is>
      </c>
      <c r="J59" t="inlineStr">
        <is>
          <t>广播/影视</t>
        </is>
      </c>
      <c r="K59" t="inlineStr">
        <is>
          <t>页面未展示</t>
        </is>
      </c>
      <c r="L59" t="inlineStr">
        <is>
          <t>0-20人</t>
        </is>
      </c>
      <c r="M59" t="inlineStr">
        <is>
          <t>使用文生文、文生图、文生视频和AI剪辑工具，制作AI短剧、漫剧和短视频。</t>
        </is>
      </c>
      <c r="N59" t="inlineStr">
        <is>
          <t>熟悉主流生成工具；有相关项目经验。</t>
        </is>
      </c>
      <c r="O59" t="inlineStr">
        <is>
          <t>小团队全流程经验。</t>
        </is>
      </c>
      <c r="P59" t="inlineStr">
        <is>
          <t>文生文, 文生图, 文生视频, AI剪辑</t>
        </is>
      </c>
      <c r="Q59" t="inlineStr">
        <is>
          <t>低薪小团队岗位，但覆盖工具链较完整。</t>
        </is>
      </c>
      <c r="R59" s="2" t="str">
        <f>=HYPERLINK("https://www.zhipin.com/zhaopin/c02eb3cf7f6e975b0ndz2N68Ew~~/", "https://www.zhipin.com/zhaopin/c02eb3cf7f6e975b0ndz2N68Ew~~/")</f>
        <v>https://www.zhipin.com/zhaopin/c02eb3cf7f6e975b0ndz2N68Ew~~/</v>
      </c>
      <c r="S59" s="3">
        <v>46263</v>
      </c>
      <c r="T59" t="inlineStr">
        <is>
          <t>Boss公开列表页摘要；详情页受安全验证限制。</t>
        </is>
      </c>
    </row>
    <row r="60" ht="25.5" customHeight="1">
      <c r="A60" t="inlineStr">
        <is>
          <t>AIGC内容制作实习生</t>
        </is>
      </c>
      <c r="B60" t="inlineStr">
        <is>
          <t>深圳漫宸影业有限公司</t>
        </is>
      </c>
      <c r="C60" t="inlineStr">
        <is>
          <t>实习/其他</t>
        </is>
      </c>
      <c r="D60" t="inlineStr">
        <is>
          <t>2-3K</t>
        </is>
      </c>
      <c r="E60">
        <v>2</v>
      </c>
      <c r="F60">
        <v>3</v>
      </c>
      <c r="G60" t="inlineStr">
        <is>
          <t>深圳龙岗区布吉</t>
        </is>
      </c>
      <c r="H60" t="inlineStr">
        <is>
          <t>经验不限</t>
        </is>
      </c>
      <c r="I60" t="inlineStr">
        <is>
          <t>大专</t>
        </is>
      </c>
      <c r="J60" t="inlineStr">
        <is>
          <t>广播/影视</t>
        </is>
      </c>
      <c r="K60" t="inlineStr">
        <is>
          <t>页面未展示</t>
        </is>
      </c>
      <c r="L60" t="inlineStr">
        <is>
          <t>0-20人</t>
        </is>
      </c>
      <c r="M60" t="inlineStr">
        <is>
          <t>跟踪和测试主流AI视频工具，评估其在漫剧与真人剧中的应用。</t>
        </is>
      </c>
      <c r="N60" t="inlineStr">
        <is>
          <t>愿意持续学习AI工具，具备基础内容制作能力。</t>
        </is>
      </c>
      <c r="O60" t="inlineStr">
        <is>
          <t>有漫剧或真人剧学习项目。</t>
        </is>
      </c>
      <c r="P60" t="inlineStr">
        <is>
          <t>可灵, Pika, DomoAI, Midjourney, Seedance</t>
        </is>
      </c>
      <c r="Q60" t="inlineStr">
        <is>
          <t>工具研究与内容制作结合的实习岗位。</t>
        </is>
      </c>
      <c r="R60" s="2" t="str">
        <f>=HYPERLINK("https://www.zhipin.com/zhaopin/c02eb3cf7f6e975b0ndz2N68Ew~~/", "https://www.zhipin.com/zhaopin/c02eb3cf7f6e975b0ndz2N68Ew~~/")</f>
        <v>https://www.zhipin.com/zhaopin/c02eb3cf7f6e975b0ndz2N68Ew~~/</v>
      </c>
      <c r="S60" s="3">
        <v>46263</v>
      </c>
      <c r="T60" t="inlineStr">
        <is>
          <t>Boss公开列表页摘要；详情页受安全验证限制。</t>
        </is>
      </c>
    </row>
    <row r="61" ht="25.5" customHeight="1">
      <c r="A61" t="inlineStr">
        <is>
          <t>AI影视剧制作师</t>
        </is>
      </c>
      <c r="B61" t="inlineStr">
        <is>
          <t>空间站文化</t>
        </is>
      </c>
      <c r="C61" t="inlineStr">
        <is>
          <t>AI漫剧制作</t>
        </is>
      </c>
      <c r="D61" t="inlineStr">
        <is>
          <t>4-8K</t>
        </is>
      </c>
      <c r="E61">
        <v>4</v>
      </c>
      <c r="F61">
        <v>8</v>
      </c>
      <c r="G61" t="inlineStr">
        <is>
          <t>西安雁塔区太白南路沿线</t>
        </is>
      </c>
      <c r="H61" t="inlineStr">
        <is>
          <t>1-3年</t>
        </is>
      </c>
      <c r="I61" t="inlineStr">
        <is>
          <t>学历不限</t>
        </is>
      </c>
      <c r="J61" t="inlineStr">
        <is>
          <t>广播/影视</t>
        </is>
      </c>
      <c r="K61" t="inlineStr">
        <is>
          <t>未融资</t>
        </is>
      </c>
      <c r="L61" t="inlineStr">
        <is>
          <t>20-99人</t>
        </is>
      </c>
      <c r="M61" t="inlineStr">
        <is>
          <t>使用AI工具完成文生图、图生图和图生视频，参与AI真人剧和动态漫制作。</t>
        </is>
      </c>
      <c r="N61" t="inlineStr">
        <is>
          <t>熟练操作多种AI生成工具，能按制作要求交付。</t>
        </is>
      </c>
      <c r="O61" t="inlineStr">
        <is>
          <t>可应聘制作组长者优先。</t>
        </is>
      </c>
      <c r="P61" t="inlineStr">
        <is>
          <t>海螺, 即梦, Vidu, 豆包</t>
        </is>
      </c>
      <c r="Q61" t="inlineStr">
        <is>
          <t>公司同时招AI剧制作组长和制作师。</t>
        </is>
      </c>
      <c r="R61" s="2" t="str">
        <f>=HYPERLINK("https://www.zhipin.com/zhaopin/d762363cab3d80f103N-39i-Fw~~/", "https://www.zhipin.com/zhaopin/d762363cab3d80f103N-39i-Fw~~/")</f>
        <v>https://www.zhipin.com/zhaopin/d762363cab3d80f103N-39i-Fw~~/</v>
      </c>
      <c r="S61" s="3">
        <v>46263</v>
      </c>
      <c r="T61" t="inlineStr">
        <is>
          <t>Boss公开列表页摘要；详情页受安全验证限制。</t>
        </is>
      </c>
    </row>
    <row r="62" ht="25.5" customHeight="1">
      <c r="A62" t="inlineStr">
        <is>
          <t>AI漫剧3D真人剧制作</t>
        </is>
      </c>
      <c r="B62" t="inlineStr">
        <is>
          <t>一帧一念影视</t>
        </is>
      </c>
      <c r="C62" t="inlineStr">
        <is>
          <t>AI漫剧制作</t>
        </is>
      </c>
      <c r="D62" t="inlineStr">
        <is>
          <t>4-9K</t>
        </is>
      </c>
      <c r="E62">
        <v>4</v>
      </c>
      <c r="F62">
        <v>9</v>
      </c>
      <c r="G62" t="inlineStr">
        <is>
          <t>西安新城区胡家庙</t>
        </is>
      </c>
      <c r="H62" t="inlineStr">
        <is>
          <t>1年以内</t>
        </is>
      </c>
      <c r="I62" t="inlineStr">
        <is>
          <t>学历不限</t>
        </is>
      </c>
      <c r="J62" t="inlineStr">
        <is>
          <t>广播/影视</t>
        </is>
      </c>
      <c r="K62" t="inlineStr">
        <is>
          <t>页面未展示</t>
        </is>
      </c>
      <c r="L62" t="inlineStr">
        <is>
          <t>20-99人</t>
        </is>
      </c>
      <c r="M62" t="inlineStr">
        <is>
          <t>使用AI软件进行图生视频，服务漫剧和3D真人剧制作。</t>
        </is>
      </c>
      <c r="N62" t="inlineStr">
        <is>
          <t>必须有AI制作经验；广播电视编导、动画、美术相关背景优先。</t>
        </is>
      </c>
      <c r="O62" t="inlineStr">
        <is>
          <t>热爱动漫并有影视基础。</t>
        </is>
      </c>
      <c r="P62" t="inlineStr">
        <is>
          <t>Photoshop, 海螺, 即梦, Vidu</t>
        </is>
      </c>
      <c r="Q62" t="inlineStr">
        <is>
          <t>不接受纯零基础，强调相关专业与AI经验。</t>
        </is>
      </c>
      <c r="R62" s="2" t="str">
        <f>=HYPERLINK("https://www.zhipin.com/zhaopin/d762363cab3d80f103N-39i-Fw~~/", "https://www.zhipin.com/zhaopin/d762363cab3d80f103N-39i-Fw~~/")</f>
        <v>https://www.zhipin.com/zhaopin/d762363cab3d80f103N-39i-Fw~~/</v>
      </c>
      <c r="S62" s="3">
        <v>46263</v>
      </c>
      <c r="T62" t="inlineStr">
        <is>
          <t>Boss公开列表页摘要；详情页受安全验证限制。</t>
        </is>
      </c>
    </row>
    <row r="63" ht="25.5" customHeight="1">
      <c r="A63" t="inlineStr">
        <is>
          <t>AI漫剧制作师</t>
        </is>
      </c>
      <c r="B63" t="inlineStr">
        <is>
          <t>海鸥先生影视</t>
        </is>
      </c>
      <c r="C63" t="inlineStr">
        <is>
          <t>AI漫剧制作</t>
        </is>
      </c>
      <c r="D63" t="inlineStr">
        <is>
          <t>6-10K</t>
        </is>
      </c>
      <c r="E63">
        <v>6</v>
      </c>
      <c r="F63">
        <v>10</v>
      </c>
      <c r="G63" t="inlineStr">
        <is>
          <t>西安雁塔区雁翔路</t>
        </is>
      </c>
      <c r="H63" t="inlineStr">
        <is>
          <t>1-3年</t>
        </is>
      </c>
      <c r="I63" t="inlineStr">
        <is>
          <t>本科</t>
        </is>
      </c>
      <c r="J63" t="inlineStr">
        <is>
          <t>广播/影视</t>
        </is>
      </c>
      <c r="K63" t="inlineStr">
        <is>
          <t>天使轮</t>
        </is>
      </c>
      <c r="L63" t="inlineStr">
        <is>
          <t>20-99人</t>
        </is>
      </c>
      <c r="M63" t="inlineStr">
        <is>
          <t>根据文字脚本和导演要求设计分镜，规划节奏、运镜、剪辑、特效和音效。</t>
        </is>
      </c>
      <c r="N63" t="inlineStr">
        <is>
          <t>具备分镜表输出与完整镜头设计能力。</t>
        </is>
      </c>
      <c r="O63" t="inlineStr">
        <is>
          <t>导演、动画或影视后期经验。</t>
        </is>
      </c>
      <c r="P63" t="inlineStr">
        <is>
          <t>分镜, 运镜, 剪辑, 特效, 音效</t>
        </is>
      </c>
      <c r="Q63" t="inlineStr">
        <is>
          <t>职责比普通制作岗更偏前期分镜和导演执行。</t>
        </is>
      </c>
      <c r="R63" s="2" t="str">
        <f>=HYPERLINK("https://www.zhipin.com/zhaopin/d762363cab3d80f103N-39i-Fw~~/", "https://www.zhipin.com/zhaopin/d762363cab3d80f103N-39i-Fw~~/")</f>
        <v>https://www.zhipin.com/zhaopin/d762363cab3d80f103N-39i-Fw~~/</v>
      </c>
      <c r="S63" s="3">
        <v>46263</v>
      </c>
      <c r="T63" t="inlineStr">
        <is>
          <t>Boss公开列表页摘要；详情页受安全验证限制。</t>
        </is>
      </c>
    </row>
    <row r="64" ht="25.5" customHeight="1">
      <c r="A64" t="inlineStr">
        <is>
          <t>AI漫制作师/剪辑</t>
        </is>
      </c>
      <c r="B64" t="inlineStr">
        <is>
          <t>盘相数字</t>
        </is>
      </c>
      <c r="C64" t="inlineStr">
        <is>
          <t>AI漫剧制作</t>
        </is>
      </c>
      <c r="D64" t="inlineStr">
        <is>
          <t>4-9K</t>
        </is>
      </c>
      <c r="E64">
        <v>4</v>
      </c>
      <c r="F64">
        <v>9</v>
      </c>
      <c r="G64" t="inlineStr">
        <is>
          <t>西安未央区文景路</t>
        </is>
      </c>
      <c r="H64" t="inlineStr">
        <is>
          <t>1-3年</t>
        </is>
      </c>
      <c r="I64" t="inlineStr">
        <is>
          <t>大专</t>
        </is>
      </c>
      <c r="J64" t="inlineStr">
        <is>
          <t>计算机软件</t>
        </is>
      </c>
      <c r="K64" t="inlineStr">
        <is>
          <t>未融资</t>
        </is>
      </c>
      <c r="L64" t="inlineStr">
        <is>
          <t>20-99人</t>
        </is>
      </c>
      <c r="M64" t="inlineStr">
        <is>
          <t>按剧本和分镜完成AI生图、人物与场景制作，并负责剪辑。</t>
        </is>
      </c>
      <c r="N64" t="inlineStr">
        <is>
          <t>会AI生图；能保证画风统一、画质清晰和按时交付。</t>
        </is>
      </c>
      <c r="O64" t="inlineStr">
        <is>
          <t>古风、现言等漫剧绘图经验。</t>
        </is>
      </c>
      <c r="P64" t="inlineStr">
        <is>
          <t>AI生图, 人物, 场景, 剪辑</t>
        </is>
      </c>
      <c r="Q64" t="inlineStr">
        <is>
          <t>制作与剪辑合并的综合岗位。</t>
        </is>
      </c>
      <c r="R64" s="2" t="str">
        <f>=HYPERLINK("https://www.zhipin.com/zhaopin/d762363cab3d80f103N-39i-Fw~~/", "https://www.zhipin.com/zhaopin/d762363cab3d80f103N-39i-Fw~~/")</f>
        <v>https://www.zhipin.com/zhaopin/d762363cab3d80f103N-39i-Fw~~/</v>
      </c>
      <c r="S64" s="3">
        <v>46263</v>
      </c>
      <c r="T64" t="inlineStr">
        <is>
          <t>Boss公开列表页摘要；详情页受安全验证限制。</t>
        </is>
      </c>
    </row>
    <row r="65" ht="25.5" customHeight="1">
      <c r="A65" t="inlineStr">
        <is>
          <t>AI漫剧制作师</t>
        </is>
      </c>
      <c r="B65" t="inlineStr">
        <is>
          <t>名宇策划</t>
        </is>
      </c>
      <c r="C65" t="inlineStr">
        <is>
          <t>AI漫剧制作</t>
        </is>
      </c>
      <c r="D65" t="inlineStr">
        <is>
          <t>4-5K</t>
        </is>
      </c>
      <c r="E65">
        <v>4</v>
      </c>
      <c r="F65">
        <v>5</v>
      </c>
      <c r="G65" t="inlineStr">
        <is>
          <t>西安碑林区西安交大</t>
        </is>
      </c>
      <c r="H65" t="inlineStr">
        <is>
          <t>1年以内</t>
        </is>
      </c>
      <c r="I65" t="inlineStr">
        <is>
          <t>大专</t>
        </is>
      </c>
      <c r="J65" t="inlineStr">
        <is>
          <t>广告/公关/会展</t>
        </is>
      </c>
      <c r="K65" t="inlineStr">
        <is>
          <t>未融资</t>
        </is>
      </c>
      <c r="L65" t="inlineStr">
        <is>
          <t>0-20人</t>
        </is>
      </c>
      <c r="M65" t="inlineStr">
        <is>
          <t>参与AI漫剧画面生成和基础视频制作。</t>
        </is>
      </c>
      <c r="N65" t="inlineStr">
        <is>
          <t>具备基础AI工具和剪辑能力。</t>
        </is>
      </c>
      <c r="O65" t="inlineStr">
        <is>
          <t>双休、法定节假日；有作品优先。</t>
        </is>
      </c>
      <c r="P65" t="inlineStr">
        <is>
          <t>AI生成, 剪辑</t>
        </is>
      </c>
      <c r="Q65" t="inlineStr">
        <is>
          <t>公开页展示信息较少，建议沟通确认完整职责。</t>
        </is>
      </c>
      <c r="R65" s="2" t="str">
        <f>=HYPERLINK("https://www.zhipin.com/zhaopin/d762363cab3d80f103N-39i-Fw~~/", "https://www.zhipin.com/zhaopin/d762363cab3d80f103N-39i-Fw~~/")</f>
        <v>https://www.zhipin.com/zhaopin/d762363cab3d80f103N-39i-Fw~~/</v>
      </c>
      <c r="S65" s="3">
        <v>46263</v>
      </c>
      <c r="T65" t="inlineStr">
        <is>
          <t>Boss公开列表页摘要；公开JD信息较少。</t>
        </is>
      </c>
    </row>
    <row r="66" ht="25.5" customHeight="1">
      <c r="A66" t="inlineStr">
        <is>
          <t>AIGC动画制作师</t>
        </is>
      </c>
      <c r="B66" t="inlineStr">
        <is>
          <t>昕恒</t>
        </is>
      </c>
      <c r="C66" t="inlineStr">
        <is>
          <t>AI视频/AIGC制作</t>
        </is>
      </c>
      <c r="D66" t="inlineStr">
        <is>
          <t>6-8K</t>
        </is>
      </c>
      <c r="E66">
        <v>6</v>
      </c>
      <c r="F66">
        <v>8</v>
      </c>
      <c r="G66" t="inlineStr">
        <is>
          <t>广州</t>
        </is>
      </c>
      <c r="H66" t="inlineStr">
        <is>
          <t>1-3年</t>
        </is>
      </c>
      <c r="I66" t="inlineStr">
        <is>
          <t>大专</t>
        </is>
      </c>
      <c r="J66" t="inlineStr">
        <is>
          <t>广播/影视</t>
        </is>
      </c>
      <c r="K66" t="inlineStr">
        <is>
          <t>页面未展示</t>
        </is>
      </c>
      <c r="L66" t="inlineStr">
        <is>
          <t>0-20人</t>
        </is>
      </c>
      <c r="M66" t="inlineStr">
        <is>
          <t>使用AIGC平台完成图生视频、首尾帧和多图参考，制作高动态动漫视频。</t>
        </is>
      </c>
      <c r="N66" t="inlineStr">
        <is>
          <t>理解不同生成方式，能快速产出动态效果。</t>
        </is>
      </c>
      <c r="O66" t="inlineStr">
        <is>
          <t>ComfyUI经验或学习意愿。</t>
        </is>
      </c>
      <c r="P66" t="inlineStr">
        <is>
          <t>图生视频, 首尾帧, 多图参考, ComfyUI</t>
        </is>
      </c>
      <c r="Q66" t="inlineStr">
        <is>
          <t>偏技术执行型AIGC动画岗位。</t>
        </is>
      </c>
      <c r="R66" s="2" t="str">
        <f>=HYPERLINK("https://www.zhipin.com/zhaopin/c403a1f958ac269f03N839m6GA~~/", "https://www.zhipin.com/zhaopin/c403a1f958ac269f03N839m6GA~~/")</f>
        <v>https://www.zhipin.com/zhaopin/c403a1f958ac269f03N839m6GA~~/</v>
      </c>
      <c r="S66" s="3">
        <v>46263</v>
      </c>
      <c r="T66" t="inlineStr">
        <is>
          <t>Boss公开列表页摘要；详情页受安全验证限制。</t>
        </is>
      </c>
    </row>
    <row r="67" ht="25.5" customHeight="1">
      <c r="A67" t="inlineStr">
        <is>
          <t>AI动漫主管</t>
        </is>
      </c>
      <c r="B67" t="inlineStr">
        <is>
          <t>广东畅读</t>
        </is>
      </c>
      <c r="C67" t="inlineStr">
        <is>
          <t>导演/编导</t>
        </is>
      </c>
      <c r="D67" t="inlineStr">
        <is>
          <t>12-18K</t>
        </is>
      </c>
      <c r="E67">
        <v>12</v>
      </c>
      <c r="F67">
        <v>18</v>
      </c>
      <c r="G67" t="inlineStr">
        <is>
          <t>广州天河区车陂</t>
        </is>
      </c>
      <c r="H67" t="inlineStr">
        <is>
          <t>1-3年</t>
        </is>
      </c>
      <c r="I67" t="inlineStr">
        <is>
          <t>大专</t>
        </is>
      </c>
      <c r="J67" t="inlineStr">
        <is>
          <t>互联网</t>
        </is>
      </c>
      <c r="K67" t="inlineStr">
        <is>
          <t>天使轮</t>
        </is>
      </c>
      <c r="L67" t="inlineStr">
        <is>
          <t>20-99人</t>
        </is>
      </c>
      <c r="M67" t="inlineStr">
        <is>
          <t>主导动态漫选题与IP评估，制定内容开发规划并把控剧本、分镜和成片方向。</t>
        </is>
      </c>
      <c r="N67" t="inlineStr">
        <is>
          <t>具备内容判断、项目统筹和团队管理能力。</t>
        </is>
      </c>
      <c r="O67" t="inlineStr">
        <is>
          <t>网文IP评估或爆款动态漫经验。</t>
        </is>
      </c>
      <c r="P67" t="inlineStr">
        <is>
          <t>IP评估, 剧本, 分镜, 成片把控</t>
        </is>
      </c>
      <c r="Q67" t="inlineStr">
        <is>
          <t>内容主管岗位，重心在选题和质量管理。</t>
        </is>
      </c>
      <c r="R67" s="2" t="str">
        <f>=HYPERLINK("https://www.zhipin.com/zhaopin/c403a1f958ac269f03N839m6GA~~/", "https://www.zhipin.com/zhaopin/c403a1f958ac269f03N839m6GA~~/")</f>
        <v>https://www.zhipin.com/zhaopin/c403a1f958ac269f03N839m6GA~~/</v>
      </c>
      <c r="S67" s="3">
        <v>46263</v>
      </c>
      <c r="T67" t="inlineStr">
        <is>
          <t>Boss公开列表页摘要；详情页受安全验证限制。</t>
        </is>
      </c>
    </row>
    <row r="68" ht="25.5" customHeight="1">
      <c r="A68" t="inlineStr">
        <is>
          <t>AI动漫美术制作师</t>
        </is>
      </c>
      <c r="B68" t="inlineStr">
        <is>
          <t>广州金帧映画科技</t>
        </is>
      </c>
      <c r="C68" t="inlineStr">
        <is>
          <t>AI漫剧制作</t>
        </is>
      </c>
      <c r="D68" t="inlineStr">
        <is>
          <t>7-12K</t>
        </is>
      </c>
      <c r="E68">
        <v>7</v>
      </c>
      <c r="F68">
        <v>12</v>
      </c>
      <c r="G68" t="inlineStr">
        <is>
          <t>广州番禺区市桥</t>
        </is>
      </c>
      <c r="H68" t="inlineStr">
        <is>
          <t>经验不限</t>
        </is>
      </c>
      <c r="I68" t="inlineStr">
        <is>
          <t>大专</t>
        </is>
      </c>
      <c r="J68" t="inlineStr">
        <is>
          <t>互联网</t>
        </is>
      </c>
      <c r="K68" t="inlineStr">
        <is>
          <t>页面未展示</t>
        </is>
      </c>
      <c r="L68" t="inlineStr">
        <is>
          <t>0-20人</t>
        </is>
      </c>
      <c r="M68" t="inlineStr">
        <is>
          <t>使用AIGC工具配合多风格AI视频项目的视觉生产与优化。</t>
        </is>
      </c>
      <c r="N68" t="inlineStr">
        <is>
          <t>熟悉主流生图和视频生成工具，能高效适配不同风格。</t>
        </is>
      </c>
      <c r="O68" t="inlineStr">
        <is>
          <t>美术基础和多风格作品。</t>
        </is>
      </c>
      <c r="P68" t="inlineStr">
        <is>
          <t>可灵, 即梦, ChatGPT, Midjourney, Stable Diffusion</t>
        </is>
      </c>
      <c r="Q68" t="inlineStr">
        <is>
          <t>薪资含无责底薪加奖金。</t>
        </is>
      </c>
      <c r="R68" s="2" t="str">
        <f>=HYPERLINK("https://www.zhipin.com/zhaopin/c403a1f958ac269f03N839m6GA~~/", "https://www.zhipin.com/zhaopin/c403a1f958ac269f03N839m6GA~~/")</f>
        <v>https://www.zhipin.com/zhaopin/c403a1f958ac269f03N839m6GA~~/</v>
      </c>
      <c r="S68" s="3">
        <v>46263</v>
      </c>
      <c r="T68" t="inlineStr">
        <is>
          <t>Boss公开列表页摘要；详情页受安全验证限制。</t>
        </is>
      </c>
    </row>
    <row r="69" ht="25.5" customHeight="1">
      <c r="A69" t="inlineStr">
        <is>
          <t>AI漫剧制作</t>
        </is>
      </c>
      <c r="B69" t="inlineStr">
        <is>
          <t>广州灰科纪动漫</t>
        </is>
      </c>
      <c r="C69" t="inlineStr">
        <is>
          <t>AI漫剧制作</t>
        </is>
      </c>
      <c r="D69" t="inlineStr">
        <is>
          <t>4-9K</t>
        </is>
      </c>
      <c r="E69">
        <v>4</v>
      </c>
      <c r="F69">
        <v>9</v>
      </c>
      <c r="G69" t="inlineStr">
        <is>
          <t>广州天河区员村</t>
        </is>
      </c>
      <c r="H69" t="inlineStr">
        <is>
          <t>1-3年</t>
        </is>
      </c>
      <c r="I69" t="inlineStr">
        <is>
          <t>大专</t>
        </is>
      </c>
      <c r="J69" t="inlineStr">
        <is>
          <t>广播/影视</t>
        </is>
      </c>
      <c r="K69" t="inlineStr">
        <is>
          <t>页面未展示</t>
        </is>
      </c>
      <c r="L69" t="inlineStr">
        <is>
          <t>0-20人</t>
        </is>
      </c>
      <c r="M69" t="inlineStr">
        <is>
          <t>完成人设、场景、视频和剪辑，把剧本通过AI工具转成成片并把控风格质量。</t>
        </is>
      </c>
      <c r="N69" t="inlineStr">
        <is>
          <t>熟悉AI漫剧全流程，能稳定保持角色与风格一致。</t>
        </is>
      </c>
      <c r="O69" t="inlineStr">
        <is>
          <t>可线上兼职；有独立成片经验。</t>
        </is>
      </c>
      <c r="P69" t="inlineStr">
        <is>
          <t>AI生图, AI视频, 剪辑</t>
        </is>
      </c>
      <c r="Q69" t="inlineStr">
        <is>
          <t>全流程AI漫剧岗位，支持线上兼职。</t>
        </is>
      </c>
      <c r="R69" s="2" t="str">
        <f>=HYPERLINK("https://www.zhipin.com/zhaopin/c403a1f958ac269f03N839m6GA~~/", "https://www.zhipin.com/zhaopin/c403a1f958ac269f03N839m6GA~~/")</f>
        <v>https://www.zhipin.com/zhaopin/c403a1f958ac269f03N839m6GA~~/</v>
      </c>
      <c r="S69" s="3">
        <v>46263</v>
      </c>
      <c r="T69" t="inlineStr">
        <is>
          <t>Boss公开列表页摘要；详情页受安全验证限制。</t>
        </is>
      </c>
    </row>
    <row r="70" ht="25.5" customHeight="1">
      <c r="A70" t="inlineStr">
        <is>
          <t>AI剧资深编剧</t>
        </is>
      </c>
      <c r="B70" t="inlineStr">
        <is>
          <t>福气多网络科技</t>
        </is>
      </c>
      <c r="C70" t="inlineStr">
        <is>
          <t>编剧/内容</t>
        </is>
      </c>
      <c r="D70" t="inlineStr">
        <is>
          <t>8-13K</t>
        </is>
      </c>
      <c r="E70">
        <v>8</v>
      </c>
      <c r="F70">
        <v>13</v>
      </c>
      <c r="G70" t="inlineStr">
        <is>
          <t>杭州西湖区西溪</t>
        </is>
      </c>
      <c r="H70" t="inlineStr">
        <is>
          <t>3-5年</t>
        </is>
      </c>
      <c r="I70" t="inlineStr">
        <is>
          <t>本科</t>
        </is>
      </c>
      <c r="J70" t="inlineStr">
        <is>
          <t>互联网</t>
        </is>
      </c>
      <c r="K70" t="inlineStr">
        <is>
          <t>不需要融资</t>
        </is>
      </c>
      <c r="L70" t="inlineStr">
        <is>
          <t>20-99人</t>
        </is>
      </c>
      <c r="M70" t="inlineStr">
        <is>
          <t>将采购版权改编为适合AI视听语言和海外平台受众的本土化剧本，保留核心爽点。</t>
        </is>
      </c>
      <c r="N70" t="inlineStr">
        <is>
          <t>具备版权改编、跨文化表达和短剧节奏能力。</t>
        </is>
      </c>
      <c r="O70" t="inlineStr">
        <is>
          <t>海外平台或YouTube内容经验。</t>
        </is>
      </c>
      <c r="P70" t="inlineStr">
        <is>
          <t>剧本改编, AI视听, 海外本土化</t>
        </is>
      </c>
      <c r="Q70" t="inlineStr">
        <is>
          <t>核心能力是把网文/IP改造成适合AI制作的海外剧本。</t>
        </is>
      </c>
      <c r="R70" s="2" t="str">
        <f>=HYPERLINK("https://www.zhipin.com/zhaopin/7a9f6b9e56ceff030XB609k~/", "https://www.zhipin.com/zhaopin/7a9f6b9e56ceff030XB609k~/")</f>
        <v>https://www.zhipin.com/zhaopin/7a9f6b9e56ceff030XB609k~/</v>
      </c>
      <c r="S70" s="3">
        <v>46263</v>
      </c>
      <c r="T70" t="inlineStr">
        <is>
          <t>Boss公开列表页摘要；详情页受安全验证限制。</t>
        </is>
      </c>
    </row>
    <row r="71" ht="25.5" customHeight="1">
      <c r="A71" t="inlineStr">
        <is>
          <t>海外编剧</t>
        </is>
      </c>
      <c r="B71" t="inlineStr">
        <is>
          <t>杭州十五分钟文化传媒</t>
        </is>
      </c>
      <c r="C71" t="inlineStr">
        <is>
          <t>编剧/内容</t>
        </is>
      </c>
      <c r="D71" t="inlineStr">
        <is>
          <t>30-50K</t>
        </is>
      </c>
      <c r="E71">
        <v>30</v>
      </c>
      <c r="F71">
        <v>50</v>
      </c>
      <c r="G71" t="inlineStr">
        <is>
          <t>深圳南山区科技园</t>
        </is>
      </c>
      <c r="H71" t="inlineStr">
        <is>
          <t>3-5年</t>
        </is>
      </c>
      <c r="I71" t="inlineStr">
        <is>
          <t>本科</t>
        </is>
      </c>
      <c r="J71" t="inlineStr">
        <is>
          <t>互联网</t>
        </is>
      </c>
      <c r="K71" t="inlineStr">
        <is>
          <t>不需要融资</t>
        </is>
      </c>
      <c r="L71" t="inlineStr">
        <is>
          <t>20-99人</t>
        </is>
      </c>
      <c r="M71" t="inlineStr">
        <is>
          <t>主导北美互动影游或短剧的IP孵化、世界观设定和主线大纲，设计高强度情绪钩子。</t>
        </is>
      </c>
      <c r="N71" t="inlineStr">
        <is>
          <t>具备世界观构筑、长短线叙事和北美用户理解。</t>
        </is>
      </c>
      <c r="O71" t="inlineStr">
        <is>
          <t>英文创作或海外互动内容爆款经验。</t>
        </is>
      </c>
      <c r="P71" t="inlineStr">
        <is>
          <t>IP孵化, 世界观, Hook, 海外短剧</t>
        </is>
      </c>
      <c r="Q71" t="inlineStr">
        <is>
          <t>样本中编剧岗位薪资最高，明显偏海外高阶内容。</t>
        </is>
      </c>
      <c r="R71" s="2" t="str">
        <f>=HYPERLINK("https://www.zhipin.com/zhaopin/7a9f6b9e56ceff030XB609k~/", "https://www.zhipin.com/zhaopin/7a9f6b9e56ceff030XB609k~/")</f>
        <v>https://www.zhipin.com/zhaopin/7a9f6b9e56ceff030XB609k~/</v>
      </c>
      <c r="S71" s="3">
        <v>46263</v>
      </c>
      <c r="T71" t="inlineStr">
        <is>
          <t>Boss公开列表页摘要；详情页受安全验证限制。</t>
        </is>
      </c>
    </row>
    <row r="72" ht="25.5" customHeight="1">
      <c r="A72" t="inlineStr">
        <is>
          <t>短剧编剧</t>
        </is>
      </c>
      <c r="B72" t="inlineStr">
        <is>
          <t>快歌智能</t>
        </is>
      </c>
      <c r="C72" t="inlineStr">
        <is>
          <t>编剧/内容</t>
        </is>
      </c>
      <c r="D72" t="inlineStr">
        <is>
          <t>6-11K</t>
        </is>
      </c>
      <c r="E72">
        <v>6</v>
      </c>
      <c r="F72">
        <v>11</v>
      </c>
      <c r="G72" t="inlineStr">
        <is>
          <t>长春绿园区吾悦广场</t>
        </is>
      </c>
      <c r="H72" t="inlineStr">
        <is>
          <t>1-3年</t>
        </is>
      </c>
      <c r="I72" t="inlineStr">
        <is>
          <t>本科</t>
        </is>
      </c>
      <c r="J72" t="inlineStr">
        <is>
          <t>互联网</t>
        </is>
      </c>
      <c r="K72" t="inlineStr">
        <is>
          <t>B轮</t>
        </is>
      </c>
      <c r="L72" t="inlineStr">
        <is>
          <t>100-499人</t>
        </is>
      </c>
      <c r="M72" t="inlineStr">
        <is>
          <t>在成熟AI漫剧制作、投流和发行链路中负责短剧剧本创作与内容协作。</t>
        </is>
      </c>
      <c r="N72" t="inlineStr">
        <is>
          <t>有短剧或网文改编经验，理解制作和投流反馈。</t>
        </is>
      </c>
      <c r="O72" t="inlineStr">
        <is>
          <t>能兼任主编或带团队者。</t>
        </is>
      </c>
      <c r="P72" t="inlineStr">
        <is>
          <t>短剧剧本, AI漫剧, 投流, 发行</t>
        </is>
      </c>
      <c r="Q72" t="inlineStr">
        <is>
          <t>公司具备AI漫剧制作与发行全链路。</t>
        </is>
      </c>
      <c r="R72" s="2" t="str">
        <f>=HYPERLINK("https://www.zhipin.com/zhaopin/7a9f6b9e56ceff030XB609k~/", "https://www.zhipin.com/zhaopin/7a9f6b9e56ceff030XB609k~/")</f>
        <v>https://www.zhipin.com/zhaopin/7a9f6b9e56ceff030XB609k~/</v>
      </c>
      <c r="S72" s="3">
        <v>46263</v>
      </c>
      <c r="T72" t="inlineStr">
        <is>
          <t>Boss公开列表页摘要；详情页受安全验证限制。</t>
        </is>
      </c>
    </row>
    <row r="73" ht="25.5" customHeight="1">
      <c r="A73" t="inlineStr">
        <is>
          <t>AI漫剧编剧</t>
        </is>
      </c>
      <c r="B73" t="inlineStr">
        <is>
          <t>新诺瓦文化</t>
        </is>
      </c>
      <c r="C73" t="inlineStr">
        <is>
          <t>编剧/内容</t>
        </is>
      </c>
      <c r="D73" t="inlineStr">
        <is>
          <t>15-20K·14薪</t>
        </is>
      </c>
      <c r="E73">
        <v>15</v>
      </c>
      <c r="F73">
        <v>20</v>
      </c>
      <c r="G73" t="inlineStr">
        <is>
          <t>北京海淀区西三旗</t>
        </is>
      </c>
      <c r="H73" t="inlineStr">
        <is>
          <t>1-3年</t>
        </is>
      </c>
      <c r="I73" t="inlineStr">
        <is>
          <t>本科</t>
        </is>
      </c>
      <c r="J73" t="inlineStr">
        <is>
          <t>人工智能</t>
        </is>
      </c>
      <c r="K73" t="inlineStr">
        <is>
          <t>不需要融资</t>
        </is>
      </c>
      <c r="L73" t="inlineStr">
        <is>
          <t>0-20人</t>
        </is>
      </c>
      <c r="M73" t="inlineStr">
        <is>
          <t>研究动漫短剧趋势和竞品，评估小说IP并输出选题方向，参与剧本审核与内容优化。</t>
        </is>
      </c>
      <c r="N73" t="inlineStr">
        <is>
          <t>具备市场洞察、IP筛选和剧本判断能力。</t>
        </is>
      </c>
      <c r="O73" t="inlineStr">
        <is>
          <t>有数据复盘或头部网文平台经验。</t>
        </is>
      </c>
      <c r="P73" t="inlineStr">
        <is>
          <t>市场研究, IP评估, 选题, 剧本审核</t>
        </is>
      </c>
      <c r="Q73" t="inlineStr">
        <is>
          <t>更像AI漫剧内容编辑/责编，而非单纯写手。</t>
        </is>
      </c>
      <c r="R73" s="2" t="str">
        <f>=HYPERLINK("https://www.zhipin.com/zhaopin/7a9f6b9e56ceff030XB609k~/", "https://www.zhipin.com/zhaopin/7a9f6b9e56ceff030XB609k~/")</f>
        <v>https://www.zhipin.com/zhaopin/7a9f6b9e56ceff030XB609k~/</v>
      </c>
      <c r="S73" s="3">
        <v>46263</v>
      </c>
      <c r="T73" t="inlineStr">
        <is>
          <t>Boss公开列表页摘要；详情页受安全验证限制。</t>
        </is>
      </c>
    </row>
    <row r="74" ht="25.5" customHeight="1">
      <c r="A74" t="inlineStr">
        <is>
          <t>编剧/主编</t>
        </is>
      </c>
      <c r="B74" t="inlineStr">
        <is>
          <t>小熊博望</t>
        </is>
      </c>
      <c r="C74" t="inlineStr">
        <is>
          <t>编剧/内容</t>
        </is>
      </c>
      <c r="D74" t="inlineStr">
        <is>
          <t>13-26K·13薪</t>
        </is>
      </c>
      <c r="E74">
        <v>13</v>
      </c>
      <c r="F74">
        <v>26</v>
      </c>
      <c r="G74" t="inlineStr">
        <is>
          <t>广州天河区棠下</t>
        </is>
      </c>
      <c r="H74" t="inlineStr">
        <is>
          <t>1-3年</t>
        </is>
      </c>
      <c r="I74" t="inlineStr">
        <is>
          <t>大专</t>
        </is>
      </c>
      <c r="J74" t="inlineStr">
        <is>
          <t>互联网</t>
        </is>
      </c>
      <c r="K74" t="inlineStr">
        <is>
          <t>未融资</t>
        </is>
      </c>
      <c r="L74" t="inlineStr">
        <is>
          <t>100-499人</t>
        </is>
      </c>
      <c r="M74" t="inlineStr">
        <is>
          <t>面向出海AI短剧项目进行编剧或主编工作，把控剧本质量与团队产出。</t>
        </is>
      </c>
      <c r="N74" t="inlineStr">
        <is>
          <t>理解短剧出海与AI化生产，具备编剧或主编经验。</t>
        </is>
      </c>
      <c r="O74" t="inlineStr">
        <is>
          <t>可Base广州/北京，优秀者可远程；有海外爆款案例。</t>
        </is>
      </c>
      <c r="P74" t="inlineStr">
        <is>
          <t>短剧出海, 编剧, 主编, AI内容</t>
        </is>
      </c>
      <c r="Q74" t="inlineStr">
        <is>
          <t>高阶内容岗，工作地点和形式较灵活。</t>
        </is>
      </c>
      <c r="R74" s="2" t="str">
        <f>=HYPERLINK("https://www.zhipin.com/zhaopin/7a9f6b9e56ceff030XB609k~/", "https://www.zhipin.com/zhaopin/7a9f6b9e56ceff030XB609k~/")</f>
        <v>https://www.zhipin.com/zhaopin/7a9f6b9e56ceff030XB609k~/</v>
      </c>
      <c r="S74" s="3">
        <v>46263</v>
      </c>
      <c r="T74" t="inlineStr">
        <is>
          <t>Boss公开列表页摘要；详情页受安全验证限制。</t>
        </is>
      </c>
    </row>
    <row r="75" ht="25.5" customHeight="1">
      <c r="A75" t="inlineStr">
        <is>
          <t>AIGC导演</t>
        </is>
      </c>
      <c r="B75" t="inlineStr">
        <is>
          <t>华纳中天</t>
        </is>
      </c>
      <c r="C75" t="inlineStr">
        <is>
          <t>导演/编导</t>
        </is>
      </c>
      <c r="D75" t="inlineStr">
        <is>
          <t>15-30K</t>
        </is>
      </c>
      <c r="E75">
        <v>15</v>
      </c>
      <c r="F75">
        <v>30</v>
      </c>
      <c r="G75" t="inlineStr">
        <is>
          <t>北京朝阳区高碑店</t>
        </is>
      </c>
      <c r="H75" t="inlineStr">
        <is>
          <t>1-3年</t>
        </is>
      </c>
      <c r="I75" t="inlineStr">
        <is>
          <t>本科</t>
        </is>
      </c>
      <c r="J75"/>
      <c r="K75"/>
      <c r="L75"/>
      <c r="M75" t="inlineStr">
        <is>
          <t>负责AIGC视频从内容理解、创意构思、脚本与分镜拆解、视觉设计、AI素材生成到成片的完整流程；根据项目选择文生图、图生图、文生视频、图生视频等模型与制作方式；把控构图、景别、运镜、表演、光影、节奏与整体风格；优化人物和场景一致性、动作、稳定性与镜头衔接；测试新模型并沉淀提示词、角色场景资产和标准化工作流。</t>
        </is>
      </c>
      <c r="N75" t="inlineStr">
        <is>
          <t>本科及以上，戏剧影视相关专业优先；有AIGC视频项目经验，能独立完成从需求到成片的全流程并提供独立作品；具备内容创意、审美和视听语言基础；熟悉主流AI生图、生视频和大语言模型工具以及Prompt、参考图控制、角色一致性等方法；沟通协作和交付能力良好。</t>
        </is>
      </c>
      <c r="O75" t="inlineStr">
        <is>
          <t>持续研究新模型、新工具并能判断其项目适用性。</t>
        </is>
      </c>
      <c r="P75" t="inlineStr">
        <is>
          <t>AIGC, 导演, 创意策划, 脚本, 分镜, AI生图, AI视频, 构图, 光影, 角色一致性, 场景一致性, 成片把控</t>
        </is>
      </c>
      <c r="Q75" t="inlineStr">
        <is>
          <t>岗位职责：负责AIGC视频从内容理解、创意构思、脚本与分镜拆解、视觉设计、AI素材生成到成片的完整流程；根据项目选择文生图、图生图、文生视频、图生视频等模型与制作方式；把控构图、景别、运镜、表演、光影、节奏与整体风格；优化人物和场景一致性、动作、稳定性与镜头衔接；测试新模型并沉淀提示词、角色场景资产和标准化工作流。
任职要求：本科及以上，戏剧影视相关专业优先；有AIGC视频项目经验，能独立完成从需求到成片的全流程并提供独立作品；具备内容创意、审美和视听语言基础；熟悉主流AI生图、生视频和大语言模型工具以及Prompt、参考图控制、角色一致性等方法；沟通协作和交付能力良好。
加分项：持续研究新模型、新工具并能判断其项目适用性。</t>
        </is>
      </c>
      <c r="R75" s="2" t="str">
        <f>=HYPERLINK("https://www.zhipin.com/zhaopin/47d1c60e9d9478af0nB_3tq_Eg~~/", "https://www.zhipin.com/zhaopin/47d1c60e9d9478af0nB_3tq_Eg~~/")</f>
        <v>https://www.zhipin.com/zhaopin/47d1c60e9d9478af0nB_3tq_Eg~~/</v>
      </c>
      <c r="S75" s="3">
        <v>46282</v>
      </c>
      <c r="T75" t="inlineStr">
        <is>
          <t>BOSS直聘岗位页截图；原文件：screenshot-20260917-015108.png。已按截图原文OCR清洗并拆分；截图未展示职位直链，来源链接沿用该表北京岗位检索页。 页面顶部学历标签为大专，但正文写明本科及以上；学历字段按正文的更严格要求归一为本科。</t>
        </is>
      </c>
    </row>
    <row r="76" ht="25.5" customHeight="1">
      <c r="A76" t="inlineStr">
        <is>
          <t>AIGC导演</t>
        </is>
      </c>
      <c r="B76" t="inlineStr">
        <is>
          <t>电通电话公司</t>
        </is>
      </c>
      <c r="C76" t="inlineStr">
        <is>
          <t>导演/编导</t>
        </is>
      </c>
      <c r="D76" t="inlineStr">
        <is>
          <t>15-25K</t>
        </is>
      </c>
      <c r="E76">
        <v>15</v>
      </c>
      <c r="F76">
        <v>25</v>
      </c>
      <c r="G76" t="inlineStr">
        <is>
          <t>北京丰台区</t>
        </is>
      </c>
      <c r="H76" t="inlineStr">
        <is>
          <t>3-5年</t>
        </is>
      </c>
      <c r="I76" t="inlineStr">
        <is>
          <t>本科</t>
        </is>
      </c>
      <c r="J76"/>
      <c r="K76"/>
      <c r="L76"/>
      <c r="M76" t="inlineStr">
        <is>
          <t>主导AIGC短剧从分镜、风格定调、AI画面生成到剪辑合成、配音配乐和成片输出的全流程；前置参与剧本评估并从AI可行性、视觉呈现和节奏钩点提出意见；对接政法机关、出品方和平台需求；沉淀提示词、镜头库和风格模板；解决畸变、闪烁、帧断层和风格割裂问题；协同实拍、后期和制片团队并把关内容合规。</t>
        </is>
      </c>
      <c r="N76" t="inlineStr">
        <is>
          <t>3年以上影视、短剧或动画导演/执行导演经验，精通视听语言和项目落地；熟练使用Midjourney、Stable Diffusion、ComfyUI、ControlNet、LoRA、Runway、可灵、即梦等工具；熟悉Premiere、AE、达芬奇、剪映；具备画面审美、团队协作、项目统筹和抗压能力。</t>
        </is>
      </c>
      <c r="O76" t="inlineStr">
        <is>
          <t>有法治题材经验、完整AIGC短片/短剧/广告作品、三维能力，或熟悉AI数字人与AI音频工具。</t>
        </is>
      </c>
      <c r="P76" t="inlineStr">
        <is>
          <t>AIGC, 导演, 分镜, 短剧, 短剧制作, 角色一致性, 场景一致性, 参数调优, 后期合成, 项目管理</t>
        </is>
      </c>
      <c r="Q76" t="inlineStr">
        <is>
          <t>岗位职责：主导AIGC短剧从分镜、风格定调、AI画面生成到剪辑合成、配音配乐和成片输出的全流程；前置参与剧本评估并从AI可行性、视觉呈现和节奏钩点提出意见；对接政法机关、出品方和平台需求；沉淀提示词、镜头库和风格模板；解决畸变、闪烁、帧断层和风格割裂问题；协同实拍、后期和制片团队并把关内容合规。
任职要求：3年以上影视、短剧或动画导演/执行导演经验，精通视听语言和项目落地；熟练使用Midjourney、Stable Diffusion、ComfyUI、ControlNet、LoRA、Runway、可灵、即梦等工具；熟悉Premiere、AE、达芬奇、剪映；具备画面审美、团队协作、项目统筹和抗压能力。
加分项：有法治题材经验、完整AIGC短片/短剧/广告作品、三维能力，或熟悉AI数字人与AI音频工具。</t>
        </is>
      </c>
      <c r="R76" s="2" t="str">
        <f>=HYPERLINK("https://www.zhipin.com/zhaopin/47d1c60e9d9478af0nB_3tq_Eg~~/", "https://www.zhipin.com/zhaopin/47d1c60e9d9478af0nB_3tq_Eg~~/")</f>
        <v>https://www.zhipin.com/zhaopin/47d1c60e9d9478af0nB_3tq_Eg~~/</v>
      </c>
      <c r="S76" s="3">
        <v>46282</v>
      </c>
      <c r="T76" t="inlineStr">
        <is>
          <t>BOSS直聘岗位页截图；原文件：screenshot-20260917-015126.png。已按截图原文OCR清洗并拆分；截图未展示职位直链，来源链接沿用该表北京岗位检索页。</t>
        </is>
      </c>
    </row>
    <row r="77" ht="25.5" customHeight="1">
      <c r="A77" t="inlineStr">
        <is>
          <t>AIGC影视导演</t>
        </is>
      </c>
      <c r="B77" t="inlineStr">
        <is>
          <t>山东佳音成都分公司</t>
        </is>
      </c>
      <c r="C77" t="inlineStr">
        <is>
          <t>导演/编导</t>
        </is>
      </c>
      <c r="D77" t="inlineStr">
        <is>
          <t>10-15K</t>
        </is>
      </c>
      <c r="E77">
        <v>10</v>
      </c>
      <c r="F77">
        <v>15</v>
      </c>
      <c r="G77" t="inlineStr">
        <is>
          <t>北京朝阳区万东科技文创园</t>
        </is>
      </c>
      <c r="H77" t="inlineStr">
        <is>
          <t>1-3年</t>
        </is>
      </c>
      <c r="I77" t="inlineStr">
        <is>
          <t>学历不限</t>
        </is>
      </c>
      <c r="J77"/>
      <c r="K77"/>
      <c r="L77"/>
      <c r="M77" t="inlineStr">
        <is>
          <t>主导AIGC影视项目从创意、分镜到成片的全流程，定调画面叙事并审核各环节产出；统筹美术、抽卡和剪辑团队；搭建提示词与风格参数库并对接技术团队；完成试标验收、推进立项和量产，统一作品调性；带教团队储备人才。</t>
        </is>
      </c>
      <c r="N77" t="inlineStr">
        <is>
          <t>有电影或头部短剧导演完整项目经历及可查上线署名作品；理解爆款内容逻辑；熟悉AI视频与图像工具，有AIGC影视实操能力并能一线调试；视听功底扎实，能够定义画面风格和传递创作需求。</t>
        </is>
      </c>
      <c r="O77" t="inlineStr">
        <is>
          <t>有爆款项目案例；投递需附作品集和过往项目案例。</t>
        </is>
      </c>
      <c r="P77" t="inlineStr">
        <is>
          <t>AIGC, 导演, 分镜, 视觉统筹, AI工作流, 成片把控, 项目管理</t>
        </is>
      </c>
      <c r="Q77" t="inlineStr">
        <is>
          <t>岗位职责：主导AIGC影视项目从创意、分镜到成片的全流程，定调画面叙事并审核各环节产出；统筹美术、抽卡和剪辑团队；搭建提示词与风格参数库并对接技术团队；完成试标验收、推进立项和量产，统一作品调性；带教团队储备人才。
任职要求：有电影或头部短剧导演完整项目经历及可查上线署名作品；理解爆款内容逻辑；熟悉AI视频与图像工具，有AIGC影视实操能力并能一线调试；视听功底扎实，能够定义画面风格和传递创作需求。
加分项：有爆款项目案例；投递需附作品集和过往项目案例。</t>
        </is>
      </c>
      <c r="R77" s="2" t="str">
        <f>=HYPERLINK("https://www.zhipin.com/zhaopin/47d1c60e9d9478af0nB_3tq_Eg~~/", "https://www.zhipin.com/zhaopin/47d1c60e9d9478af0nB_3tq_Eg~~/")</f>
        <v>https://www.zhipin.com/zhaopin/47d1c60e9d9478af0nB_3tq_Eg~~/</v>
      </c>
      <c r="S77" s="3">
        <v>46282</v>
      </c>
      <c r="T77" t="inlineStr">
        <is>
          <t>BOSS直聘岗位页截图；原文件：screenshot-20260917-015140.png。已按截图原文OCR清洗并拆分；截图未展示职位直链，来源链接沿用该表北京岗位检索页。</t>
        </is>
      </c>
    </row>
    <row r="78" ht="25.5" customHeight="1">
      <c r="A78" t="inlineStr">
        <is>
          <t>AIGC导演</t>
        </is>
      </c>
      <c r="B78" t="inlineStr">
        <is>
          <t>派华传媒</t>
        </is>
      </c>
      <c r="C78" t="inlineStr">
        <is>
          <t>导演/编导</t>
        </is>
      </c>
      <c r="D78" t="inlineStr">
        <is>
          <t>10-15K</t>
        </is>
      </c>
      <c r="E78">
        <v>10</v>
      </c>
      <c r="F78">
        <v>15</v>
      </c>
      <c r="G78" t="inlineStr">
        <is>
          <t>北京朝阳区北京懋隆文化产业创意园</t>
        </is>
      </c>
      <c r="H78" t="inlineStr">
        <is>
          <t>1年以内</t>
        </is>
      </c>
      <c r="I78" t="inlineStr">
        <is>
          <t>本科</t>
        </is>
      </c>
      <c r="J78"/>
      <c r="K78"/>
      <c r="L78"/>
      <c r="M78" t="inlineStr">
        <is>
          <t>主导AIGC项目整体创意方向；独立完成内容策划、脚本设计与叙事结构搭建；协调AI内容生成、视觉呈现和后期整合，确保质量与风格统一；持续跟踪行业技术发展并探索创新表达。</t>
        </is>
      </c>
      <c r="N78" t="inlineStr">
        <is>
          <t>美术、动画或导演专业的应届毕业生；熟悉AIGC内容创作流程，有AI生成视频项目经验优先；具备视觉审美、叙事能力、项目推动力、跨团队协作能力和持续学习意识。</t>
        </is>
      </c>
      <c r="O78" t="inlineStr">
        <is>
          <t>有AI生成视频项目实践经验。</t>
        </is>
      </c>
      <c r="P78" t="inlineStr">
        <is>
          <t>AIGC, 导演, 创意策划, 脚本, 故事能力, 视觉统筹, 后期</t>
        </is>
      </c>
      <c r="Q78" t="inlineStr">
        <is>
          <t>岗位职责：主导AIGC项目整体创意方向；独立完成内容策划、脚本设计与叙事结构搭建；协调AI内容生成、视觉呈现和后期整合，确保质量与风格统一；持续跟踪行业技术发展并探索创新表达。
任职要求：美术、动画或导演专业的应届毕业生；熟悉AIGC内容创作流程，有AI生成视频项目经验优先；具备视觉审美、叙事能力、项目推动力、跨团队协作能力和持续学习意识。
加分项：有AI生成视频项目实践经验。</t>
        </is>
      </c>
      <c r="R78" s="2" t="str">
        <f>=HYPERLINK("https://www.zhipin.com/zhaopin/47d1c60e9d9478af0nB_3tq_Eg~~/", "https://www.zhipin.com/zhaopin/47d1c60e9d9478af0nB_3tq_Eg~~/")</f>
        <v>https://www.zhipin.com/zhaopin/47d1c60e9d9478af0nB_3tq_Eg~~/</v>
      </c>
      <c r="S78" s="3">
        <v>46282</v>
      </c>
      <c r="T78" t="inlineStr">
        <is>
          <t>BOSS直聘岗位页截图；原文件：screenshot-20260917-015148.png。已按截图原文OCR清洗并拆分；截图未展示职位直链，来源链接沿用该表北京岗位检索页。</t>
        </is>
      </c>
    </row>
    <row r="79" ht="25.5" customHeight="1">
      <c r="A79" t="inlineStr">
        <is>
          <t>AIGC导演</t>
        </is>
      </c>
      <c r="B79" t="inlineStr">
        <is>
          <t>小明太极国漫有限公司</t>
        </is>
      </c>
      <c r="C79" t="inlineStr">
        <is>
          <t>导演/编导</t>
        </is>
      </c>
      <c r="D79" t="inlineStr">
        <is>
          <t>15-30K</t>
        </is>
      </c>
      <c r="E79">
        <v>15</v>
      </c>
      <c r="F79">
        <v>30</v>
      </c>
      <c r="G79" t="inlineStr">
        <is>
          <t>北京朝阳区万科时代中心</t>
        </is>
      </c>
      <c r="H79" t="inlineStr">
        <is>
          <t>1-3年</t>
        </is>
      </c>
      <c r="I79" t="inlineStr">
        <is>
          <t>本科</t>
        </is>
      </c>
      <c r="J79"/>
      <c r="K79"/>
      <c r="L79"/>
      <c r="M79" t="inlineStr">
        <is>
          <t>作为执行导演参与从概念到成片的全流程；完成或指导分镜脚本、视觉概念图和整体构图、色彩、光影及美术风格；主导Vidu、Gemini、Runway、Sora、即梦、可灵等AIGC内容生成与后期优化，训练调试LoRA；参与剧本二创、剪辑、调色和特效合成；在预算与周期内协调客户、制片、美术和后期团队落地。</t>
        </is>
      </c>
      <c r="N79" t="inlineStr">
        <is>
          <t>本科及以上，美术、导演、编导、数字媒体艺术等科班背景；具备成熟影视或动画执行导演经验和完整商业案例；审美与手绘基础扎实；精通至少两种主流AI绘画/视频工具；熟练使用Photoshop或Painter，了解Premiere、DaVinci等后期软件。</t>
        </is>
      </c>
      <c r="O79" t="inlineStr">
        <is>
          <t>熟悉Unreal Engine；有AIGC商业成片经验。</t>
        </is>
      </c>
      <c r="P79" t="inlineStr">
        <is>
          <t>AIGC, 导演, 分镜, 构图, 光影, 角色表演, 后期精修, 调色, 合成, 2D/3D</t>
        </is>
      </c>
      <c r="Q79" t="inlineStr">
        <is>
          <t>岗位职责：作为执行导演参与从概念到成片的全流程；完成或指导分镜脚本、视觉概念图和整体构图、色彩、光影及美术风格；主导Vidu、Gemini、Runway、Sora、即梦、可灵等AIGC内容生成与后期优化，训练调试LoRA；参与剧本二创、剪辑、调色和特效合成；在预算与周期内协调客户、制片、美术和后期团队落地。
任职要求：本科及以上，美术、导演、编导、数字媒体艺术等科班背景；具备成熟影视或动画执行导演经验和完整商业案例；审美与手绘基础扎实；精通至少两种主流AI绘画/视频工具；熟练使用Photoshop或Painter，了解Premiere、DaVinci等后期软件。
加分项：熟悉Unreal Engine；有AIGC商业成片经验。</t>
        </is>
      </c>
      <c r="R79" s="2" t="str">
        <f>=HYPERLINK("https://www.zhipin.com/zhaopin/47d1c60e9d9478af0nB_3tq_Eg~~/", "https://www.zhipin.com/zhaopin/47d1c60e9d9478af0nB_3tq_Eg~~/")</f>
        <v>https://www.zhipin.com/zhaopin/47d1c60e9d9478af0nB_3tq_Eg~~/</v>
      </c>
      <c r="S79" s="3">
        <v>46282</v>
      </c>
      <c r="T79" t="inlineStr">
        <is>
          <t>BOSS直聘岗位页截图；原文件：screenshot-20260917-015203.png。已按截图原文OCR清洗并拆分；截图未展示职位直链，来源链接沿用该表北京岗位检索页。</t>
        </is>
      </c>
    </row>
    <row r="80" ht="25.5" customHeight="1">
      <c r="A80" t="inlineStr">
        <is>
          <t>AIGC导演</t>
        </is>
      </c>
      <c r="B80" t="inlineStr">
        <is>
          <t>未披露（锐仕方达亦庄分公司代招）</t>
        </is>
      </c>
      <c r="C80" t="inlineStr">
        <is>
          <t>导演/编导</t>
        </is>
      </c>
      <c r="D80" t="inlineStr">
        <is>
          <t>25-40K</t>
        </is>
      </c>
      <c r="E80">
        <v>25</v>
      </c>
      <c r="F80">
        <v>40</v>
      </c>
      <c r="G80" t="inlineStr">
        <is>
          <t>北京</t>
        </is>
      </c>
      <c r="H80" t="inlineStr">
        <is>
          <t>经验不限</t>
        </is>
      </c>
      <c r="I80" t="inlineStr">
        <is>
          <t>本科</t>
        </is>
      </c>
      <c r="J80"/>
      <c r="K80"/>
      <c r="L80"/>
      <c r="M80" t="inlineStr">
        <is>
          <t>主导TVC、剧情片、纪录片、品牌宣传片和艺人花絮等商业影像项目，以Social广告短视频为核心；结合AIGC完成创意、分镜、视觉风格和脚本迭代；统筹项目进度并协调美术、剪辑、后期和技术团队；对接客户、完成提案和需求对齐；沉淀商业影像生产工作流。</t>
        </is>
      </c>
      <c r="N80" t="inlineStr">
        <is>
          <t>本科及以上，影视导演、编导、影视制作或新媒体专业优先；有商业广告、Social短视频或TVC剧情片完整操盘经验；能用AI完成分镜、预演与脚本创意；熟悉广告内容全链路，具备叙事、镜头、项目管理、客户沟通和跨团队协作能力。</t>
        </is>
      </c>
      <c r="O80" t="inlineStr">
        <is>
          <t>有汽车、3C、快消或通信品牌服务经历；有AIGC商业成片案例。</t>
        </is>
      </c>
      <c r="P80" t="inlineStr">
        <is>
          <t>AIGC, 导演, 创意策划, 分镜, 广告视频, 短视频, 项目管理, 成片把控</t>
        </is>
      </c>
      <c r="Q80" t="inlineStr">
        <is>
          <t>岗位职责：主导TVC、剧情片、纪录片、品牌宣传片和艺人花絮等商业影像项目，以Social广告短视频为核心；结合AIGC完成创意、分镜、视觉风格和脚本迭代；统筹项目进度并协调美术、剪辑、后期和技术团队；对接客户、完成提案和需求对齐；沉淀商业影像生产工作流。
任职要求：本科及以上，影视导演、编导、影视制作或新媒体专业优先；有商业广告、Social短视频或TVC剧情片完整操盘经验；能用AI完成分镜、预演与脚本创意；熟悉广告内容全链路，具备叙事、镜头、项目管理、客户沟通和跨团队协作能力。
加分项：有汽车、3C、快消或通信品牌服务经历；有AIGC商业成片案例。</t>
        </is>
      </c>
      <c r="R80" s="2" t="str">
        <f>=HYPERLINK("https://www.zhipin.com/zhaopin/47d1c60e9d9478af0nB_3tq_Eg~~/", "https://www.zhipin.com/zhaopin/47d1c60e9d9478af0nB_3tq_Eg~~/")</f>
        <v>https://www.zhipin.com/zhaopin/47d1c60e9d9478af0nB_3tq_Eg~~/</v>
      </c>
      <c r="S80" s="3">
        <v>46282</v>
      </c>
      <c r="T80" t="inlineStr">
        <is>
          <t>BOSS直聘岗位页截图；原文件：screenshot-20260917-015217.png。已按截图原文OCR清洗并拆分；截图未展示职位直链，来源链接沿用该表北京岗位检索页。</t>
        </is>
      </c>
    </row>
    <row r="81" ht="25.5" customHeight="1">
      <c r="A81" t="inlineStr">
        <is>
          <t>AIGC导演</t>
        </is>
      </c>
      <c r="B81" t="inlineStr">
        <is>
          <t>创聚星辉</t>
        </is>
      </c>
      <c r="C81" t="inlineStr">
        <is>
          <t>导演/编导</t>
        </is>
      </c>
      <c r="D81" t="inlineStr">
        <is>
          <t>12-20K</t>
        </is>
      </c>
      <c r="E81">
        <v>12</v>
      </c>
      <c r="F81">
        <v>20</v>
      </c>
      <c r="G81" t="inlineStr">
        <is>
          <t>北京朝阳区813文化创意产业园</t>
        </is>
      </c>
      <c r="H81" t="inlineStr">
        <is>
          <t>5-10年</t>
        </is>
      </c>
      <c r="I81" t="inlineStr">
        <is>
          <t>本科</t>
        </is>
      </c>
      <c r="J81"/>
      <c r="K81"/>
      <c r="L81"/>
      <c r="M81" t="inlineStr">
        <is>
          <t>负责AIGC影视剧和电影内容的整体创意策划与导演执行；协调技术与艺术团队；把控叙事节奏、视觉风格与表现形式。岗位主要执导AI影视剧、电影，不是广告宣传片。</t>
        </is>
      </c>
      <c r="N81" t="inlineStr">
        <is>
          <t>沟通顺畅，能按时完成任务；具备团队合作和持续学习能力；科班出身且电影、电视剧或短剧执导经验丰富者优先。</t>
        </is>
      </c>
      <c r="O81" t="inlineStr">
        <is>
          <t>有电影、电视剧、网剧或网大执导经验。</t>
        </is>
      </c>
      <c r="P81" t="inlineStr">
        <is>
          <t>AIGC, 导演, 创意策划, 影视制作, 故事能力, 成片把控</t>
        </is>
      </c>
      <c r="Q81" t="inlineStr">
        <is>
          <t>岗位职责：负责AIGC影视剧和电影内容的整体创意策划与导演执行；协调技术与艺术团队；把控叙事节奏、视觉风格与表现形式。岗位主要执导AI影视剧、电影，不是广告宣传片。
任职要求：沟通顺畅，能按时完成任务；具备团队合作和持续学习能力；科班出身且电影、电视剧或短剧执导经验丰富者优先。
加分项：有电影、电视剧、网剧或网大执导经验。</t>
        </is>
      </c>
      <c r="R81" s="2" t="str">
        <f>=HYPERLINK("https://www.zhipin.com/zhaopin/47d1c60e9d9478af0nB_3tq_Eg~~/", "https://www.zhipin.com/zhaopin/47d1c60e9d9478af0nB_3tq_Eg~~/")</f>
        <v>https://www.zhipin.com/zhaopin/47d1c60e9d9478af0nB_3tq_Eg~~/</v>
      </c>
      <c r="S81" s="3">
        <v>46282</v>
      </c>
      <c r="T81" t="inlineStr">
        <is>
          <t>BOSS直聘岗位页截图；原文件：screenshot-20260917-015231.png。已按截图原文OCR清洗并拆分；截图未展示职位直链，来源链接沿用该表北京岗位检索页。</t>
        </is>
      </c>
    </row>
    <row r="82" ht="25.5" customHeight="1">
      <c r="A82" t="inlineStr">
        <is>
          <t>优酷-AIGC制作师 / AIGC制作导演</t>
        </is>
      </c>
      <c r="B82" t="inlineStr">
        <is>
          <t>阿里巴巴集团</t>
        </is>
      </c>
      <c r="C82" t="inlineStr">
        <is>
          <t>导演/编导</t>
        </is>
      </c>
      <c r="D82" t="inlineStr">
        <is>
          <t>20-30K</t>
        </is>
      </c>
      <c r="E82">
        <v>20</v>
      </c>
      <c r="F82">
        <v>30</v>
      </c>
      <c r="G82" t="inlineStr">
        <is>
          <t>北京朝阳区阿里巴巴北京朝阳科技园</t>
        </is>
      </c>
      <c r="H82" t="inlineStr">
        <is>
          <t>1-3年</t>
        </is>
      </c>
      <c r="I82" t="inlineStr">
        <is>
          <t>本科</t>
        </is>
      </c>
      <c r="J82"/>
      <c r="K82"/>
      <c r="L82"/>
      <c r="M82" t="inlineStr">
        <is>
          <t>参与剧本讨论，使用AI生成故事板、概念图和动态分镜；探索影像风格、节奏与情绪表达；生成统一风格的角色、场景和道具资产并维护一致性；搭建并优化文字脚本到AI视觉预览再到成片的闭环；沉淀提示词模板、风格基准和控制方法。</t>
        </is>
      </c>
      <c r="N82" t="inlineStr">
        <is>
          <t>具备动画、导演或影视摄影背景和影视编导审美；必须提供完整AI视听作品并说明技术路径；熟练使用Nano Banana、ChatGPT Image、Midjourney、Seedream、Flux、ComfyUI、即梦、可灵、Wan、海螺、Vidu、PixVerse、Sora、Veo3、Runway等工具；熟悉Photoshop、AE、Premiere、DaVinci、剪映及Suno/Udio。</t>
        </is>
      </c>
      <c r="O82" t="inlineStr">
        <is>
          <t>有B站或小红书AIGC作品分享、传统影视特效/合成经验、影视动画商业项目前期开发经验，或掌握C4D/Blender。</t>
        </is>
      </c>
      <c r="P82" t="inlineStr">
        <is>
          <t>AIGC, 导演, 动态分镜, 角色一致性, 场景一致性, AI生图, AI视频, 后期合成, 预演, 配音配乐</t>
        </is>
      </c>
      <c r="Q82" t="inlineStr">
        <is>
          <t>岗位职责：参与剧本讨论，使用AI生成故事板、概念图和动态分镜；探索影像风格、节奏与情绪表达；生成统一风格的角色、场景和道具资产并维护一致性；搭建并优化文字脚本到AI视觉预览再到成片的闭环；沉淀提示词模板、风格基准和控制方法。
任职要求：具备动画、导演或影视摄影背景和影视编导审美；必须提供完整AI视听作品并说明技术路径；熟练使用Nano Banana、ChatGPT Image、Midjourney、Seedream、Flux、ComfyUI、即梦、可灵、Wan、海螺、Vidu、PixVerse、Sora、Veo3、Runway等工具；熟悉Photoshop、AE、Premiere、DaVinci、剪映及Suno/Udio。
加分项：有B站或小红书AIGC作品分享、传统影视特效/合成经验、影视动画商业项目前期开发经验，或掌握C4D/Blender。</t>
        </is>
      </c>
      <c r="R82" s="2" t="str">
        <f>=HYPERLINK("https://www.zhipin.com/zhaopin/47d1c60e9d9478af0nB_3tq_Eg~~/", "https://www.zhipin.com/zhaopin/47d1c60e9d9478af0nB_3tq_Eg~~/")</f>
        <v>https://www.zhipin.com/zhaopin/47d1c60e9d9478af0nB_3tq_Eg~~/</v>
      </c>
      <c r="S82" s="3">
        <v>46282</v>
      </c>
      <c r="T82" t="inlineStr">
        <is>
          <t>BOSS直聘岗位页截图；原文件：screenshot-20260917-015243.png。已按截图原文OCR清洗并拆分；截图未展示职位直链，来源链接沿用该表北京岗位检索页。</t>
        </is>
      </c>
    </row>
    <row r="83" ht="25.5" customHeight="1">
      <c r="A83" t="inlineStr">
        <is>
          <t>AIGC导演</t>
        </is>
      </c>
      <c r="B83" t="inlineStr">
        <is>
          <t>大智作</t>
        </is>
      </c>
      <c r="C83" t="inlineStr">
        <is>
          <t>导演/编导</t>
        </is>
      </c>
      <c r="D83" t="inlineStr">
        <is>
          <t>35-55K</t>
        </is>
      </c>
      <c r="E83">
        <v>35</v>
      </c>
      <c r="F83">
        <v>55</v>
      </c>
      <c r="G83" t="inlineStr">
        <is>
          <t>北京朝阳区远洋国际中心</t>
        </is>
      </c>
      <c r="H83" t="inlineStr">
        <is>
          <t>5-10年</t>
        </is>
      </c>
      <c r="I83" t="inlineStr">
        <is>
          <t>本科</t>
        </is>
      </c>
      <c r="J83"/>
      <c r="K83"/>
      <c r="L83"/>
      <c r="M83" t="inlineStr">
        <is>
          <t>主导原创动画短片及相关影视内容从故事构思、世界观、脚本到成片的全流程，聚焦中式志怪、民间传说、当代寓言与东方哲思；探索水墨、剪纸、皮影、壁画与2D/3D/AI融合；把控3至6个月周期内的制作节奏与成本；持续测试前沿AIGC模型并形成标准流程。</t>
        </is>
      </c>
      <c r="N83" t="inlineStr">
        <is>
          <t>本科及以上，影视编导、动画或数字媒体艺术等专业；5年以上导演经验、1年以上总导演及AIGC导演经验；有完整动画短片或剧集导演经历并提供影视和AIGC作品集；理解中国传统文化和志怪文学；精通影视语言、剧本分析、分镜、镜头设计、角色表演、剪辑和后期。</t>
        </is>
      </c>
      <c r="O83" t="inlineStr">
        <is>
          <t>作品在电影节、B站或社交媒体获得关注或奖项；在AIGC创作圈有知名度。</t>
        </is>
      </c>
      <c r="P83" t="inlineStr">
        <is>
          <t>AIGC, 导演, 编剧, 分镜, 动画制作, 2D/3D, 故事能力, 成片把控</t>
        </is>
      </c>
      <c r="Q83" t="inlineStr">
        <is>
          <t>岗位职责：主导原创动画短片及相关影视内容从故事构思、世界观、脚本到成片的全流程，聚焦中式志怪、民间传说、当代寓言与东方哲思；探索水墨、剪纸、皮影、壁画与2D/3D/AI融合；把控3至6个月周期内的制作节奏与成本；持续测试前沿AIGC模型并形成标准流程。
任职要求：本科及以上，影视编导、动画或数字媒体艺术等专业；5年以上导演经验、1年以上总导演及AIGC导演经验；有完整动画短片或剧集导演经历并提供影视和AIGC作品集；理解中国传统文化和志怪文学；精通影视语言、剧本分析、分镜、镜头设计、角色表演、剪辑和后期。
加分项：作品在电影节、B站或社交媒体获得关注或奖项；在AIGC创作圈有知名度。</t>
        </is>
      </c>
      <c r="R83" s="2" t="str">
        <f>=HYPERLINK("https://www.zhipin.com/zhaopin/47d1c60e9d9478af0nB_3tq_Eg~~/", "https://www.zhipin.com/zhaopin/47d1c60e9d9478af0nB_3tq_Eg~~/")</f>
        <v>https://www.zhipin.com/zhaopin/47d1c60e9d9478af0nB_3tq_Eg~~/</v>
      </c>
      <c r="S83" s="3">
        <v>46282</v>
      </c>
      <c r="T83" t="inlineStr">
        <is>
          <t>BOSS直聘岗位页截图；原文件：screenshot-20260917-015254.png。已按截图原文OCR清洗并拆分；截图未展示职位直链，来源链接沿用该表北京岗位检索页。</t>
        </is>
      </c>
    </row>
    <row r="84" ht="25.5" customHeight="1">
      <c r="A84" t="inlineStr">
        <is>
          <t>AIGC漫剧制作</t>
        </is>
      </c>
      <c r="B84" t="inlineStr">
        <is>
          <t>广州新棵传媒有限公司</t>
        </is>
      </c>
      <c r="C84" t="inlineStr">
        <is>
          <t>AI漫剧制作</t>
        </is>
      </c>
      <c r="D84" t="inlineStr">
        <is>
          <t>15-20K</t>
        </is>
      </c>
      <c r="E84">
        <v>15</v>
      </c>
      <c r="F84">
        <v>20</v>
      </c>
      <c r="G84" t="inlineStr">
        <is>
          <t>北京西城区北环中心</t>
        </is>
      </c>
      <c r="H84" t="inlineStr">
        <is>
          <t>经验不限</t>
        </is>
      </c>
      <c r="I84" t="inlineStr">
        <is>
          <t>大专</t>
        </is>
      </c>
      <c r="J84"/>
      <c r="K84"/>
      <c r="L84"/>
      <c r="M84" t="inlineStr">
        <is>
          <t>负责AIGC技术在漫剧制作中的应用与内容创作；根据公司提供的剧本完成漫剧全流程制作。</t>
        </is>
      </c>
      <c r="N84" t="inlineStr">
        <is>
          <t>善于沟通并按时完成工作；具备团队合作和持续学习、改进工作方法的能力。</t>
        </is>
      </c>
      <c r="O84" t="inlineStr">
        <is>
          <t>喜欢短剧、漫剧。</t>
        </is>
      </c>
      <c r="P84" t="inlineStr">
        <is>
          <t>AIGC, AI漫剧, 短剧, 短剧制作, 全流程制作</t>
        </is>
      </c>
      <c r="Q84" t="inlineStr">
        <is>
          <t>岗位职责：负责AIGC技术在漫剧制作中的应用与内容创作；根据公司提供的剧本完成漫剧全流程制作。
任职要求：善于沟通并按时完成工作；具备团队合作和持续学习、改进工作方法的能力。
加分项：喜欢短剧、漫剧。</t>
        </is>
      </c>
      <c r="R84" s="2" t="str">
        <f>=HYPERLINK("https://www.zhipin.com/zhaopin/47d1c60e9d9478af0nB_3tq_Eg~~/", "https://www.zhipin.com/zhaopin/47d1c60e9d9478af0nB_3tq_Eg~~/")</f>
        <v>https://www.zhipin.com/zhaopin/47d1c60e9d9478af0nB_3tq_Eg~~/</v>
      </c>
      <c r="S84" s="3">
        <v>46282</v>
      </c>
      <c r="T84" t="inlineStr">
        <is>
          <t>BOSS直聘岗位页截图；原文件：screenshot-20260917-015302.png。已按截图原文OCR清洗并拆分；截图未展示职位直链，来源链接沿用该表北京岗位检索页。</t>
        </is>
      </c>
    </row>
    <row r="85" ht="25.5" customHeight="1">
      <c r="A85" t="inlineStr">
        <is>
          <t>影视导演AICG方向</t>
        </is>
      </c>
      <c r="B85" t="inlineStr">
        <is>
          <t>中电星联</t>
        </is>
      </c>
      <c r="C85" t="inlineStr">
        <is>
          <t>导演/编导</t>
        </is>
      </c>
      <c r="D85" t="inlineStr">
        <is>
          <t>6-11K</t>
        </is>
      </c>
      <c r="E85">
        <v>6</v>
      </c>
      <c r="F85">
        <v>11</v>
      </c>
      <c r="G85" t="inlineStr">
        <is>
          <t>北京朝阳区曙光里</t>
        </is>
      </c>
      <c r="H85" t="inlineStr">
        <is>
          <t>在校/应届</t>
        </is>
      </c>
      <c r="I85" t="inlineStr">
        <is>
          <t>本科</t>
        </is>
      </c>
      <c r="J85"/>
      <c r="K85"/>
      <c r="L85"/>
      <c r="M85" t="inlineStr">
        <is>
          <t>负责影视项目整体创意策划与视觉风格设计，结合AIGC实现创新表达；主导拍摄与制作流程并协调团队；探索AI在剧本生成、角色设计、场景构建等环节的应用；把控成片艺术表现与技术实现。</t>
        </is>
      </c>
      <c r="N85" t="inlineStr">
        <is>
          <t>面向毕业生，影视相关专业优先；具备影视导演基础，熟悉前期策划到后期制作全流程；了解AIGC技术趋势并能使用AI辅助创作；具备审美、叙事、开放思维与技术创新意识。</t>
        </is>
      </c>
      <c r="O85" t="inlineStr">
        <is>
          <t>有完片经历或AI项目经历。</t>
        </is>
      </c>
      <c r="P85" t="inlineStr">
        <is>
          <t>AIGC, 导演, 创意策划, 剧本, 角色设定, 场景制作, 影视制作, 成片把控</t>
        </is>
      </c>
      <c r="Q85" t="inlineStr">
        <is>
          <t>岗位职责：负责影视项目整体创意策划与视觉风格设计，结合AIGC实现创新表达；主导拍摄与制作流程并协调团队；探索AI在剧本生成、角色设计、场景构建等环节的应用；把控成片艺术表现与技术实现。
任职要求：面向毕业生，影视相关专业优先；具备影视导演基础，熟悉前期策划到后期制作全流程；了解AIGC技术趋势并能使用AI辅助创作；具备审美、叙事、开放思维与技术创新意识。
加分项：有完片经历或AI项目经历。</t>
        </is>
      </c>
      <c r="R85" s="2" t="str">
        <f>=HYPERLINK("https://www.zhipin.com/zhaopin/47d1c60e9d9478af0nB_3tq_Eg~~/", "https://www.zhipin.com/zhaopin/47d1c60e9d9478af0nB_3tq_Eg~~/")</f>
        <v>https://www.zhipin.com/zhaopin/47d1c60e9d9478af0nB_3tq_Eg~~/</v>
      </c>
      <c r="S85" s="3">
        <v>46282</v>
      </c>
      <c r="T85" t="inlineStr">
        <is>
          <t>BOSS直聘岗位页截图；原文件：screenshot-20260917-015308.png。已按截图原文OCR清洗并拆分；截图未展示职位直链，来源链接沿用该表北京岗位检索页。</t>
        </is>
      </c>
    </row>
    <row r="86" ht="25.5" customHeight="1">
      <c r="A86" t="inlineStr">
        <is>
          <t>AIGC编导</t>
        </is>
      </c>
      <c r="B86" t="inlineStr">
        <is>
          <t>北京炽映万象科技</t>
        </is>
      </c>
      <c r="C86" t="inlineStr">
        <is>
          <t>导演/编导</t>
        </is>
      </c>
      <c r="D86" t="inlineStr">
        <is>
          <t>13-18K</t>
        </is>
      </c>
      <c r="E86">
        <v>13</v>
      </c>
      <c r="F86">
        <v>18</v>
      </c>
      <c r="G86" t="inlineStr">
        <is>
          <t>北京朝阳区E9创新工场</t>
        </is>
      </c>
      <c r="H86" t="inlineStr">
        <is>
          <t>1-3年</t>
        </is>
      </c>
      <c r="I86" t="inlineStr">
        <is>
          <t>大专</t>
        </is>
      </c>
      <c r="J86"/>
      <c r="K86"/>
      <c r="L86"/>
      <c r="M86" t="inlineStr">
        <is>
          <t>独立或协同完成Prompt、AI初稿、人工精修与事实核查、多模态内容生成到发布的全流程；设计并积累Prompt模板库；把控创意、事实和品牌调性；设计AIGC内容生产SOP并开展内部培训；跟踪前沿工具并探索业务应用。</t>
        </is>
      </c>
      <c r="N86" t="inlineStr">
        <is>
          <t>1至3年编导或相关经验，有成熟AIGC案例；熟悉文本、图像和视频类主流AIGC工具；能结构化撰写Prompt；具备文案、网感、审美和叙事能力；熟练使用Office、剪映和PS。</t>
        </is>
      </c>
      <c r="O86" t="inlineStr">
        <is>
          <t>有动画制作经验。</t>
        </is>
      </c>
      <c r="P86" t="inlineStr">
        <is>
          <t>AIGC, 编剧, Prompt, ChatGPT, Midjourney, Stable Diffusion, Sora, Runway, 剪映, Photoshop</t>
        </is>
      </c>
      <c r="Q86" t="inlineStr">
        <is>
          <t>岗位职责：独立或协同完成Prompt、AI初稿、人工精修与事实核查、多模态内容生成到发布的全流程；设计并积累Prompt模板库；把控创意、事实和品牌调性；设计AIGC内容生产SOP并开展内部培训；跟踪前沿工具并探索业务应用。
任职要求：1至3年编导或相关经验，有成熟AIGC案例；熟悉文本、图像和视频类主流AIGC工具；能结构化撰写Prompt；具备文案、网感、审美和叙事能力；熟练使用Office、剪映和PS。
加分项：有动画制作经验。</t>
        </is>
      </c>
      <c r="R86" s="2" t="str">
        <f>=HYPERLINK("https://www.zhipin.com/zhaopin/47d1c60e9d9478af0nB_3tq_Eg~~/", "https://www.zhipin.com/zhaopin/47d1c60e9d9478af0nB_3tq_Eg~~/")</f>
        <v>https://www.zhipin.com/zhaopin/47d1c60e9d9478af0nB_3tq_Eg~~/</v>
      </c>
      <c r="S86" s="3">
        <v>46282</v>
      </c>
      <c r="T86" t="inlineStr">
        <is>
          <t>BOSS直聘岗位页截图；原文件：screenshot-20260917-015314.png。已按截图原文OCR清洗并拆分；截图未展示职位直链，来源链接沿用该表北京岗位检索页。</t>
        </is>
      </c>
    </row>
    <row r="87" ht="25.5" customHeight="1">
      <c r="A87" t="inlineStr">
        <is>
          <t>AIGC视频导演（公司创始成员）</t>
        </is>
      </c>
      <c r="B87" t="inlineStr">
        <is>
          <t>北京晋楚之光数字科技</t>
        </is>
      </c>
      <c r="C87" t="inlineStr">
        <is>
          <t>导演/编导</t>
        </is>
      </c>
      <c r="D87" t="inlineStr">
        <is>
          <t>8000-15000元/月</t>
        </is>
      </c>
      <c r="E87">
        <v>8</v>
      </c>
      <c r="F87">
        <v>15</v>
      </c>
      <c r="G87" t="inlineStr">
        <is>
          <t>北京大兴区北京智慧融媒创新中心</t>
        </is>
      </c>
      <c r="H87" t="inlineStr">
        <is>
          <t>1-3年</t>
        </is>
      </c>
      <c r="I87" t="inlineStr">
        <is>
          <t>本科</t>
        </is>
      </c>
      <c r="J87"/>
      <c r="K87"/>
      <c r="L87"/>
      <c r="M87" t="inlineStr">
        <is>
          <t>与音乐导演合作，以原创诗歌为创作本源，依托AIGC完成史诗叙事、文化叙事和个人情感类MV的视听落地。</t>
        </is>
      </c>
      <c r="N87" t="inlineStr">
        <is>
          <t>能深度解读诗歌隐喻、象征与精神内核；具备镜头语言、分镜规划与剪辑能力，能按音乐节奏完成调度与转场并输出4K成片及短视频、TVC裁切版本；熟练使用主流AIGC视频工具；具备版权意识、克制审美和双人主创协作能力。</t>
        </is>
      </c>
      <c r="O87" t="inlineStr">
        <is>
          <t>长期兼职，工作时间不限，完工结算。</t>
        </is>
      </c>
      <c r="P87" t="inlineStr">
        <is>
          <t>AIGC, 导演, 故事能力, 分镜, 镜头调度, 剪辑, TVC</t>
        </is>
      </c>
      <c r="Q87" t="inlineStr">
        <is>
          <t>岗位职责：与音乐导演合作，以原创诗歌为创作本源，依托AIGC完成史诗叙事、文化叙事和个人情感类MV的视听落地。
任职要求：能深度解读诗歌隐喻、象征与精神内核；具备镜头语言、分镜规划与剪辑能力，能按音乐节奏完成调度与转场并输出4K成片及短视频、TVC裁切版本；熟练使用主流AIGC视频工具；具备版权意识、克制审美和双人主创协作能力。
加分项：长期兼职，工作时间不限，完工结算。</t>
        </is>
      </c>
      <c r="R87" s="2" t="str">
        <f>=HYPERLINK("https://www.zhipin.com/zhaopin/47d1c60e9d9478af0nB_3tq_Eg~~/", "https://www.zhipin.com/zhaopin/47d1c60e9d9478af0nB_3tq_Eg~~/")</f>
        <v>https://www.zhipin.com/zhaopin/47d1c60e9d9478af0nB_3tq_Eg~~/</v>
      </c>
      <c r="S87" s="3">
        <v>46282</v>
      </c>
      <c r="T87" t="inlineStr">
        <is>
          <t>BOSS直聘岗位页截图；原文件：screenshot-20260917-015321.png。已按截图原文OCR清洗并拆分；截图未展示职位直链，来源链接沿用该表北京岗位检索页。</t>
        </is>
      </c>
    </row>
    <row r="88" ht="25.5" customHeight="1">
      <c r="A88" t="inlineStr">
        <is>
          <t>AIGC导演</t>
        </is>
      </c>
      <c r="B88" t="inlineStr">
        <is>
          <t>洞力空间</t>
        </is>
      </c>
      <c r="C88" t="inlineStr">
        <is>
          <t>导演/编导</t>
        </is>
      </c>
      <c r="D88" t="inlineStr">
        <is>
          <t>14-20K</t>
        </is>
      </c>
      <c r="E88">
        <v>14</v>
      </c>
      <c r="F88">
        <v>20</v>
      </c>
      <c r="G88" t="inlineStr">
        <is>
          <t>北京朝阳区七棵树创意园</t>
        </is>
      </c>
      <c r="H88" t="inlineStr">
        <is>
          <t>3-5年</t>
        </is>
      </c>
      <c r="I88" t="inlineStr">
        <is>
          <t>本科</t>
        </is>
      </c>
      <c r="J88"/>
      <c r="K88"/>
      <c r="L88"/>
      <c r="M88" t="inlineStr">
        <is>
          <t>负责AIGC短片全流程制作，统筹剧本验收、视觉定调、镜头把控、素材生产和成片终审，对项目质量、合规与交付负责。</t>
        </is>
      </c>
      <c r="N88" t="inlineStr">
        <is>
          <t>美术、导演、戏文、动画相关专业优先；有两年以上AIGC短剧、短片或漫剧经验并独立操盘全流程；熟练使用AI生图和视频工具，能修复画面及剧情瑕疵；镜头与审美良好，能完成选题、改剧本、分镜并平衡质量与效率；能进行内容数据复盘。</t>
        </is>
      </c>
      <c r="O88" t="inlineStr">
        <is>
          <t>履历出众可放宽专业和学历。</t>
        </is>
      </c>
      <c r="P88" t="inlineStr">
        <is>
          <t>AIGC, 导演, 剧本审核, 分镜, AI生图, AI视频, 后期精修, 成片把控, 项目管理</t>
        </is>
      </c>
      <c r="Q88" t="inlineStr">
        <is>
          <t>岗位职责：负责AIGC短片全流程制作，统筹剧本验收、视觉定调、镜头把控、素材生产和成片终审，对项目质量、合规与交付负责。
任职要求：美术、导演、戏文、动画相关专业优先；有两年以上AIGC短剧、短片或漫剧经验并独立操盘全流程；熟练使用AI生图和视频工具，能修复画面及剧情瑕疵；镜头与审美良好，能完成选题、改剧本、分镜并平衡质量与效率；能进行内容数据复盘。
加分项：履历出众可放宽专业和学历。</t>
        </is>
      </c>
      <c r="R88" s="2" t="str">
        <f>=HYPERLINK("https://www.zhipin.com/zhaopin/47d1c60e9d9478af0nB_3tq_Eg~~/", "https://www.zhipin.com/zhaopin/47d1c60e9d9478af0nB_3tq_Eg~~/")</f>
        <v>https://www.zhipin.com/zhaopin/47d1c60e9d9478af0nB_3tq_Eg~~/</v>
      </c>
      <c r="S88" s="3">
        <v>46282</v>
      </c>
      <c r="T88" t="inlineStr">
        <is>
          <t>BOSS直聘岗位页截图；原文件：screenshot-20260917-015330.png。已按截图原文OCR清洗并拆分；截图未展示职位直链，来源链接沿用该表北京岗位检索页。</t>
        </is>
      </c>
    </row>
    <row r="89" ht="25.5" customHeight="1">
      <c r="A89" t="inlineStr">
        <is>
          <t>AI视频评测-编剧、导演、AIGC方向</t>
        </is>
      </c>
      <c r="B89" t="inlineStr">
        <is>
          <t>中电金信</t>
        </is>
      </c>
      <c r="C89" t="inlineStr">
        <is>
          <t>实习/其他</t>
        </is>
      </c>
      <c r="D89" t="inlineStr">
        <is>
          <t>10-15K</t>
        </is>
      </c>
      <c r="E89">
        <v>10</v>
      </c>
      <c r="F89">
        <v>15</v>
      </c>
      <c r="G89" t="inlineStr">
        <is>
          <t>北京海淀区西北旺</t>
        </is>
      </c>
      <c r="H89" t="inlineStr">
        <is>
          <t>经验不限</t>
        </is>
      </c>
      <c r="I89" t="inlineStr">
        <is>
          <t>本科</t>
        </is>
      </c>
      <c r="J89"/>
      <c r="K89"/>
      <c r="L89"/>
      <c r="M89" t="inlineStr">
        <is>
          <t>面向AI视频模型开展内容与效果评测，重点需要影视创作从业者对视听语言、文字、逻辑和生成结果进行专业判断。</t>
        </is>
      </c>
      <c r="N89" t="inlineStr">
        <is>
          <t>满足以下至少一项：有导演、编剧或AIGC创作经验，视听语言、文字和逻辑扎实且阅片量丰富；或本科及以上、来自专业影视院校或211/985综合大学影视专业，方向包括导演、戏剧影视文学、电影制作、电影学等。</t>
        </is>
      </c>
      <c r="O89" t="inlineStr">
        <is>
          <t>有视频生成模型使用经验或擅长提示词写作；同时满足经验与专业背景者优先。</t>
        </is>
      </c>
      <c r="P89" t="inlineStr">
        <is>
          <t>AI视频模型, AIGC, 编剧, 导演, Prompt, 分镜, 镜头语言, 故事能力</t>
        </is>
      </c>
      <c r="Q89" t="inlineStr">
        <is>
          <t>岗位职责：面向AI视频模型开展内容与效果评测，重点需要影视创作从业者对视听语言、文字、逻辑和生成结果进行专业判断。
任职要求：满足以下至少一项：有导演、编剧或AIGC创作经验，视听语言、文字和逻辑扎实且阅片量丰富；或本科及以上、来自专业影视院校或211/985综合大学影视专业，方向包括导演、戏剧影视文学、电影制作、电影学等。
加分项：有视频生成模型使用经验或擅长提示词写作；同时满足经验与专业背景者优先。</t>
        </is>
      </c>
      <c r="R89" s="2" t="str">
        <f>=HYPERLINK("https://www.zhipin.com/zhaopin/47d1c60e9d9478af0nB_3tq_Eg~~/", "https://www.zhipin.com/zhaopin/47d1c60e9d9478af0nB_3tq_Eg~~/")</f>
        <v>https://www.zhipin.com/zhaopin/47d1c60e9d9478af0nB_3tq_Eg~~/</v>
      </c>
      <c r="S89" s="3">
        <v>46282</v>
      </c>
      <c r="T89" t="inlineStr">
        <is>
          <t>BOSS直聘岗位页截图；原文件：screenshot-20260917-015336.png。已按截图原文OCR清洗并拆分；截图未展示职位直链，来源链接沿用该表北京岗位检索页。</t>
        </is>
      </c>
    </row>
    <row r="90" ht="25.5" customHeight="1">
      <c r="A90" t="inlineStr">
        <is>
          <t>AIGC IP短视频编导</t>
        </is>
      </c>
      <c r="B90" t="inlineStr">
        <is>
          <t>火花思维</t>
        </is>
      </c>
      <c r="C90" t="inlineStr">
        <is>
          <t>实习/其他</t>
        </is>
      </c>
      <c r="D90" t="inlineStr">
        <is>
          <t>200-250元/天</t>
        </is>
      </c>
      <c r="E90"/>
      <c r="F90"/>
      <c r="G90" t="inlineStr">
        <is>
          <t>北京朝阳区望京东湖渠</t>
        </is>
      </c>
      <c r="H90" t="inlineStr">
        <is>
          <t>实习4个月</t>
        </is>
      </c>
      <c r="I90" t="inlineStr">
        <is>
          <t>本科</t>
        </is>
      </c>
      <c r="J90"/>
      <c r="K90"/>
      <c r="L90"/>
      <c r="M90" t="inlineStr">
        <is>
          <t>参与K12 AIGC教育产品从0到1再到10的打磨；策划并撰写短视频脚本、统筹拍摄并关注投产；维护账号形象、评论区和发布，进行数据追踪复盘；优化矩阵账号体系和竞品玩法；参与增长素材创作并基于数据优化。</t>
        </is>
      </c>
      <c r="N90" t="inlineStr">
        <is>
          <t>双一流、211或985本硕在读，实习4个月以上优先；具备编导拍剪与独立成片能力；熟悉抖音、小红书生态并有网感与用户洞察；审美在线，能够用主流AIGC工具生成视频和图片；每周至少4天，岗位说明另注明一周五天坐班。</t>
        </is>
      </c>
      <c r="O90" t="inlineStr">
        <is>
          <t>深度使用AI Agent产品；了解Vibe Coding、finetune、RAG、MCP、Skill；有自媒体或个人IP成功经验、OPC经验。</t>
        </is>
      </c>
      <c r="P90" t="inlineStr">
        <is>
          <t>AIGC, 短视频, 脚本, 剪辑, 抖音, 小红书, AI视频, AI图像, IP孵化, 投流</t>
        </is>
      </c>
      <c r="Q90" t="inlineStr">
        <is>
          <t>岗位职责：参与K12 AIGC教育产品从0到1再到10的打磨；策划并撰写短视频脚本、统筹拍摄并关注投产；维护账号形象、评论区和发布，进行数据追踪复盘；优化矩阵账号体系和竞品玩法；参与增长素材创作并基于数据优化。
任职要求：双一流、211或985本硕在读，实习4个月以上优先；具备编导拍剪与独立成片能力；熟悉抖音、小红书生态并有网感与用户洞察；审美在线，能够用主流AIGC工具生成视频和图片；每周至少4天，岗位说明另注明一周五天坐班。
加分项：深度使用AI Agent产品；了解Vibe Coding、finetune、RAG、MCP、Skill；有自媒体或个人IP成功经验、OPC经验。</t>
        </is>
      </c>
      <c r="R90" s="2" t="str">
        <f>=HYPERLINK("https://www.zhipin.com/zhaopin/47d1c60e9d9478af0nB_3tq_Eg~~/", "https://www.zhipin.com/zhaopin/47d1c60e9d9478af0nB_3tq_Eg~~/")</f>
        <v>https://www.zhipin.com/zhaopin/47d1c60e9d9478af0nB_3tq_Eg~~/</v>
      </c>
      <c r="S90" s="3">
        <v>46282</v>
      </c>
      <c r="T90" t="inlineStr">
        <is>
          <t>BOSS直聘岗位页截图；原文件：screenshot-20260917-015350.png。已按截图原文OCR清洗并拆分；截图未展示职位直链，来源链接沿用该表北京岗位检索页。</t>
        </is>
      </c>
    </row>
    <row r="91" ht="25.5" customHeight="1">
      <c r="A91" t="inlineStr">
        <is>
          <t>AIGC导演</t>
        </is>
      </c>
      <c r="B91" t="inlineStr">
        <is>
          <t>景合创新</t>
        </is>
      </c>
      <c r="C91" t="inlineStr">
        <is>
          <t>导演/编导</t>
        </is>
      </c>
      <c r="D91" t="inlineStr">
        <is>
          <t>12-16K</t>
        </is>
      </c>
      <c r="E91">
        <v>12</v>
      </c>
      <c r="F91">
        <v>16</v>
      </c>
      <c r="G91" t="inlineStr">
        <is>
          <t>北京朝阳区世界财富大厦</t>
        </is>
      </c>
      <c r="H91" t="inlineStr">
        <is>
          <t>经验不限</t>
        </is>
      </c>
      <c r="I91" t="inlineStr">
        <is>
          <t>本科</t>
        </is>
      </c>
      <c r="J91"/>
      <c r="K91"/>
      <c r="L91"/>
      <c r="M91" t="inlineStr">
        <is>
          <t>主导AIGC短片从创意、剧本和分镜、视觉风格、素材生成到剪辑节奏和成片输出的完整流程；使用多模态AI完成图像、视频、动效、配音配乐与剪辑整合；与编剧、产品、开发协作；持续优化内容生产流程。</t>
        </is>
      </c>
      <c r="N91" t="inlineStr">
        <is>
          <t>熟悉叙事结构、镜头语言、画面节奏和音画表达；有AI短片、动画、MV或广告作品并提供链接；熟悉多模态AIGC工具，尤其tapnow协作和Seedance等生成平台；具备PS、Pr、AE或剪映等基础后期能力。</t>
        </is>
      </c>
      <c r="O91" t="inlineStr">
        <is>
          <t>对AI影像创作持续投入，能快速学习新模型和表达方式。</t>
        </is>
      </c>
      <c r="P91" t="inlineStr">
        <is>
          <t>AIGC, 导演, 脚本, 分镜, AI生图, AI视频, 动效, 剪辑, 配音配乐, 成片把控</t>
        </is>
      </c>
      <c r="Q91" t="inlineStr">
        <is>
          <t>岗位职责：主导AIGC短片从创意、剧本和分镜、视觉风格、素材生成到剪辑节奏和成片输出的完整流程；使用多模态AI完成图像、视频、动效、配音配乐与剪辑整合；与编剧、产品、开发协作；持续优化内容生产流程。
任职要求：熟悉叙事结构、镜头语言、画面节奏和音画表达；有AI短片、动画、MV或广告作品并提供链接；熟悉多模态AIGC工具，尤其tapnow协作和Seedance等生成平台；具备PS、Pr、AE或剪映等基础后期能力。
加分项：对AI影像创作持续投入，能快速学习新模型和表达方式。</t>
        </is>
      </c>
      <c r="R91" s="2" t="str">
        <f>=HYPERLINK("https://www.zhipin.com/zhaopin/47d1c60e9d9478af0nB_3tq_Eg~~/", "https://www.zhipin.com/zhaopin/47d1c60e9d9478af0nB_3tq_Eg~~/")</f>
        <v>https://www.zhipin.com/zhaopin/47d1c60e9d9478af0nB_3tq_Eg~~/</v>
      </c>
      <c r="S91" s="3">
        <v>46282</v>
      </c>
      <c r="T91" t="inlineStr">
        <is>
          <t>BOSS直聘岗位页截图；原文件：screenshot-20260917-015408.png。已按截图原文OCR清洗并拆分；截图未展示职位直链，来源链接沿用该表北京岗位检索页。</t>
        </is>
      </c>
    </row>
    <row r="92" ht="25.5" customHeight="1">
      <c r="A92" t="inlineStr">
        <is>
          <t>AIGC影视超创者</t>
        </is>
      </c>
      <c r="B92" t="inlineStr">
        <is>
          <t>星元益象</t>
        </is>
      </c>
      <c r="C92" t="inlineStr">
        <is>
          <t>AI视频/AIGC制作</t>
        </is>
      </c>
      <c r="D92" t="inlineStr">
        <is>
          <t>15-30K</t>
        </is>
      </c>
      <c r="E92">
        <v>15</v>
      </c>
      <c r="F92">
        <v>30</v>
      </c>
      <c r="G92" t="inlineStr">
        <is>
          <t>北京通州区马驹桥</t>
        </is>
      </c>
      <c r="H92" t="inlineStr">
        <is>
          <t>3-5年</t>
        </is>
      </c>
      <c r="I92" t="inlineStr">
        <is>
          <t>学历不限</t>
        </is>
      </c>
      <c r="J92"/>
      <c r="K92"/>
      <c r="L92"/>
      <c r="M92" t="inlineStr">
        <is>
          <t>参与头部导演团队的AI影视创作，运用AIGC全流程生成能力制作仿真人、低AI感的上线作品。</t>
        </is>
      </c>
      <c r="N92" t="inlineStr">
        <is>
          <t>有传统影视摄影、导演、剪辑或美术经验，理解影视逻辑；熟悉AIGC全流程；有上线作品；仅有解说漫、PPT漫经验者不匹配。</t>
        </is>
      </c>
      <c r="O92" t="inlineStr">
        <is>
          <t>工作时间自由灵活；投递需带简历与作品。</t>
        </is>
      </c>
      <c r="P92" t="inlineStr">
        <is>
          <t>AIGC, 影视制作, 导演, 镜头语言, 剪辑, 视觉统筹, 全流程制作, 成片把控</t>
        </is>
      </c>
      <c r="Q92" t="inlineStr">
        <is>
          <t>岗位职责：参与头部导演团队的AI影视创作，运用AIGC全流程生成能力制作仿真人、低AI感的上线作品。
任职要求：有传统影视摄影、导演、剪辑或美术经验，理解影视逻辑；熟悉AIGC全流程；有上线作品；仅有解说漫、PPT漫经验者不匹配。
加分项：工作时间自由灵活；投递需带简历与作品。</t>
        </is>
      </c>
      <c r="R92" s="2" t="str">
        <f>=HYPERLINK("https://www.zhipin.com/zhaopin/47d1c60e9d9478af0nB_3tq_Eg~~/", "https://www.zhipin.com/zhaopin/47d1c60e9d9478af0nB_3tq_Eg~~/")</f>
        <v>https://www.zhipin.com/zhaopin/47d1c60e9d9478af0nB_3tq_Eg~~/</v>
      </c>
      <c r="S92" s="3">
        <v>46282</v>
      </c>
      <c r="T92" t="inlineStr">
        <is>
          <t>BOSS直聘岗位页截图；原文件：screenshot-20260917-015415.png。已按截图原文OCR清洗并拆分；截图未展示职位直链，来源链接沿用该表北京岗位检索页。</t>
        </is>
      </c>
    </row>
    <row r="93" ht="25.5" customHeight="1">
      <c r="A93" t="inlineStr">
        <is>
          <t>AIGC导演</t>
        </is>
      </c>
      <c r="B93" t="inlineStr">
        <is>
          <t>北京炬象科技有限公司</t>
        </is>
      </c>
      <c r="C93" t="inlineStr">
        <is>
          <t>导演/编导</t>
        </is>
      </c>
      <c r="D93" t="inlineStr">
        <is>
          <t>20-40K</t>
        </is>
      </c>
      <c r="E93">
        <v>20</v>
      </c>
      <c r="F93">
        <v>40</v>
      </c>
      <c r="G93" t="inlineStr">
        <is>
          <t>北京朝阳区国粹苑</t>
        </is>
      </c>
      <c r="H93" t="inlineStr">
        <is>
          <t>1-3年</t>
        </is>
      </c>
      <c r="I93" t="inlineStr">
        <is>
          <t>本科</t>
        </is>
      </c>
      <c r="J93"/>
      <c r="K93"/>
      <c r="L93"/>
      <c r="M93" t="inlineStr">
        <is>
          <t>主导AIGC短片从剧本、分镜、美术风格、图像与视频生成到节奏剪辑、动效、配音配乐和成片输出；调度多模态AI生成多镜头素材并控制风格一致性和情绪节奏；协同编剧、产品和技术团队；持续优化创作流程和工具策略。</t>
        </is>
      </c>
      <c r="N93" t="inlineStr">
        <is>
          <t>熟悉叙事、镜头、节奏和音画表达；参与或主导过AI短片、动画、MV或广告，有完整作品；熟练使用主流AIGC模型和提示词；熟悉Photoshop、剪映、Premiere、After Effects及Suno/Udio；能领导团队完成AIGC漫剧。</t>
        </is>
      </c>
      <c r="O93" t="inlineStr">
        <is>
          <t>岗位强调超精品付费剧与爆款团队；正文另写税前月薪20-60K，表头为20-40K。</t>
        </is>
      </c>
      <c r="P93" t="inlineStr">
        <is>
          <t>AIGC, 导演, 短剧, 分镜, AI生图, AI视频, 动效, 剪辑, 配音配乐, 成片把控</t>
        </is>
      </c>
      <c r="Q93" t="inlineStr">
        <is>
          <t>岗位职责：主导AIGC短片从剧本、分镜、美术风格、图像与视频生成到节奏剪辑、动效、配音配乐和成片输出；调度多模态AI生成多镜头素材并控制风格一致性和情绪节奏；协同编剧、产品和技术团队；持续优化创作流程和工具策略。
任职要求：熟悉叙事、镜头、节奏和音画表达；参与或主导过AI短片、动画、MV或广告，有完整作品；熟练使用主流AIGC模型和提示词；熟悉Photoshop、剪映、Premiere、After Effects及Suno/Udio；能领导团队完成AIGC漫剧。
加分项：岗位强调超精品付费剧与爆款团队；正文另写税前月薪20-60K，表头为20-40K。</t>
        </is>
      </c>
      <c r="R93" s="2" t="str">
        <f>=HYPERLINK("https://www.zhipin.com/zhaopin/47d1c60e9d9478af0nB_3tq_Eg~~/", "https://www.zhipin.com/zhaopin/47d1c60e9d9478af0nB_3tq_Eg~~/")</f>
        <v>https://www.zhipin.com/zhaopin/47d1c60e9d9478af0nB_3tq_Eg~~/</v>
      </c>
      <c r="S93" s="3">
        <v>46282</v>
      </c>
      <c r="T93" t="inlineStr">
        <is>
          <t>BOSS直聘岗位页截图；原文件：screenshot-20260917-015439.png。已按截图原文OCR清洗并拆分；截图未展示职位直链，来源链接沿用该表北京岗位检索页。</t>
        </is>
      </c>
    </row>
    <row r="94" ht="25.5" customHeight="1">
      <c r="A94" t="inlineStr">
        <is>
          <t>AIGC导演</t>
        </is>
      </c>
      <c r="B94" t="inlineStr">
        <is>
          <t>看吧文化</t>
        </is>
      </c>
      <c r="C94" t="inlineStr">
        <is>
          <t>导演/编导</t>
        </is>
      </c>
      <c r="D94" t="inlineStr">
        <is>
          <t>12-24K</t>
        </is>
      </c>
      <c r="E94">
        <v>12</v>
      </c>
      <c r="F94">
        <v>24</v>
      </c>
      <c r="G94" t="inlineStr">
        <is>
          <t>北京朝阳区草场地</t>
        </is>
      </c>
      <c r="H94" t="inlineStr">
        <is>
          <t>3-5年</t>
        </is>
      </c>
      <c r="I94" t="inlineStr">
        <is>
          <t>本科</t>
        </is>
      </c>
      <c r="J94"/>
      <c r="K94"/>
      <c r="L94"/>
      <c r="M94" t="inlineStr">
        <is>
          <t>面向真人短片方向，负责创意策划、剧本梳理、分镜设计与导演执行；拆解景别、机位、运动、光影、表演和节奏；完成图片、视频、声音生成与后期编辑；从参考影片和市场案例中提炼可复用流程；测试评估新模型和工作流。</t>
        </is>
      </c>
      <c r="N94" t="inlineStr">
        <is>
          <t>本科及以上，导演、编剧、影视制作、动画、视觉传达或视效相关专业优先；有完成或上线的AI影像作品，真人短片优先；具备电影导演思维和分镜能力；熟练使用主流AIGC工具并能完成生图到视频的全链路；愿意理解Diffusion、Transformer等原理并系统测评工具。</t>
        </is>
      </c>
      <c r="O94" t="inlineStr">
        <is>
          <t>成熟商业项目或获奖作品；不接受走量短剧、漫剧、预告片、混剪或仅展示Prompt效果的作品。</t>
        </is>
      </c>
      <c r="P94" t="inlineStr">
        <is>
          <t>AIGC, 导演, 剧本, 分镜, 镜头调度, 角色表演, AI生图, AI视频, 剪辑, 参数调优</t>
        </is>
      </c>
      <c r="Q94" t="inlineStr">
        <is>
          <t>岗位职责：面向真人短片方向，负责创意策划、剧本梳理、分镜设计与导演执行；拆解景别、机位、运动、光影、表演和节奏；完成图片、视频、声音生成与后期编辑；从参考影片和市场案例中提炼可复用流程；测试评估新模型和工作流。
任职要求：本科及以上，导演、编剧、影视制作、动画、视觉传达或视效相关专业优先；有完成或上线的AI影像作品，真人短片优先；具备电影导演思维和分镜能力；熟练使用主流AIGC工具并能完成生图到视频的全链路；愿意理解Diffusion、Transformer等原理并系统测评工具。
加分项：成熟商业项目或获奖作品；不接受走量短剧、漫剧、预告片、混剪或仅展示Prompt效果的作品。</t>
        </is>
      </c>
      <c r="R94" s="2" t="str">
        <f>=HYPERLINK("https://www.zhipin.com/zhaopin/47d1c60e9d9478af0nB_3tq_Eg~~/", "https://www.zhipin.com/zhaopin/47d1c60e9d9478af0nB_3tq_Eg~~/")</f>
        <v>https://www.zhipin.com/zhaopin/47d1c60e9d9478af0nB_3tq_Eg~~/</v>
      </c>
      <c r="S94" s="3">
        <v>46282</v>
      </c>
      <c r="T94" t="inlineStr">
        <is>
          <t>BOSS直聘岗位页截图；原文件：screenshot-20260917-015452.png。已按截图原文OCR清洗并拆分；截图未展示职位直链，来源链接沿用该表北京岗位检索页。</t>
        </is>
      </c>
    </row>
    <row r="95" ht="25.5" customHeight="1">
      <c r="A95" t="inlineStr">
        <is>
          <t>AIGC执行导演</t>
        </is>
      </c>
      <c r="B95" t="inlineStr">
        <is>
          <t>创意先声</t>
        </is>
      </c>
      <c r="C95" t="inlineStr">
        <is>
          <t>导演/编导</t>
        </is>
      </c>
      <c r="D95" t="inlineStr">
        <is>
          <t>8-13K</t>
        </is>
      </c>
      <c r="E95">
        <v>8</v>
      </c>
      <c r="F95">
        <v>13</v>
      </c>
      <c r="G95" t="inlineStr">
        <is>
          <t>北京朝阳区SOHO11号公寓</t>
        </is>
      </c>
      <c r="H95" t="inlineStr">
        <is>
          <t>1-3年</t>
        </is>
      </c>
      <c r="I95"/>
      <c r="J95"/>
      <c r="K95"/>
      <c r="L95"/>
      <c r="M95" t="inlineStr">
        <is>
          <t>协助总导演完成AIGC内容生成与制作；协助导演执行摄制项目。</t>
        </is>
      </c>
      <c r="N95" t="inlineStr">
        <is>
          <t>熟悉AIGC生产流程；英文或设计能力突出且有作品者优先；有艺术审美，懂设计，踏实好学。页面学历标签为高中，目标表无高中选项，因此学历字段留空并保留在原文。</t>
        </is>
      </c>
      <c r="O95" t="inlineStr">
        <is>
          <t>艺术设计或影视专业、跨学科背景，以及摄影剪辑能力。</t>
        </is>
      </c>
      <c r="P95" t="inlineStr">
        <is>
          <t>AIGC, 导演, 影视制作, 镜头语言, 剪辑, Premiere, Photoshop, 调色</t>
        </is>
      </c>
      <c r="Q95" t="inlineStr">
        <is>
          <t>岗位职责：协助总导演完成AIGC内容生成与制作；协助导演执行摄制项目。
任职要求：熟悉AIGC生产流程；英文或设计能力突出且有作品者优先；有艺术审美，懂设计，踏实好学。页面学历标签为高中，目标表无高中选项，因此学历字段留空并保留在原文。
加分项：艺术设计或影视专业、跨学科背景，以及摄影剪辑能力。</t>
        </is>
      </c>
      <c r="R95" s="2" t="str">
        <f>=HYPERLINK("https://www.zhipin.com/zhaopin/47d1c60e9d9478af0nB_3tq_Eg~~/", "https://www.zhipin.com/zhaopin/47d1c60e9d9478af0nB_3tq_Eg~~/")</f>
        <v>https://www.zhipin.com/zhaopin/47d1c60e9d9478af0nB_3tq_Eg~~/</v>
      </c>
      <c r="S95" s="3">
        <v>46282</v>
      </c>
      <c r="T95" t="inlineStr">
        <is>
          <t>BOSS直聘岗位页截图；原文件：screenshot-20260917-015458.png。已按截图原文OCR清洗并拆分；截图未展示职位直链，来源链接沿用该表北京岗位检索页。</t>
        </is>
      </c>
    </row>
    <row r="96" ht="25.5" customHeight="1">
      <c r="A96" t="inlineStr">
        <is>
          <t>AIGC执行导演（影视/MV方向）</t>
        </is>
      </c>
      <c r="B96" t="inlineStr">
        <is>
          <t>无限可能音乐</t>
        </is>
      </c>
      <c r="C96" t="inlineStr">
        <is>
          <t>导演/编导</t>
        </is>
      </c>
      <c r="D96" t="inlineStr">
        <is>
          <t>10-15K</t>
        </is>
      </c>
      <c r="E96">
        <v>10</v>
      </c>
      <c r="F96">
        <v>15</v>
      </c>
      <c r="G96" t="inlineStr">
        <is>
          <t>北京朝阳区上林世家</t>
        </is>
      </c>
      <c r="H96" t="inlineStr">
        <is>
          <t>1-3年</t>
        </is>
      </c>
      <c r="I96" t="inlineStr">
        <is>
          <t>学历不限</t>
        </is>
      </c>
      <c r="J96"/>
      <c r="K96"/>
      <c r="L96"/>
      <c r="M96" t="inlineStr">
        <is>
          <t>理解原创IP、剧本和导演阐述，拆解镜头清单、视觉参考、路径、分工与节点；完成分镜、关键帧、一致性测试、图像视频生成、素材筛选、粗剪和声音包装；落实人物表演、场面调度、景别、运镜、光影与节奏；协调编导、美术、生成、剪辑及外部资源；参与审片并提出补镜、重构、转绘、实拍、CG或后期方案；维护素材、版本与制作记录。</t>
        </is>
      </c>
      <c r="N96" t="inlineStr">
        <is>
          <t>理解视听语言、表演、调度、剪辑和声音叙事；具备AIGC全链路制作能力；至少有一部深度参与的完整叙事作品并说明职责；熟悉图像、视频和大模型工作流；具备基础剪辑与后期判断；执行与沟通能力强，能管理版本和节点。</t>
        </is>
      </c>
      <c r="O96" t="inlineStr">
        <is>
          <t>有影视剧、MV、广告、综艺或动画执行经验；在编剧、美术、摄影、剪辑、声音、合成、三维或生成工作流中有一项熟练；有原创IP、互动叙事或游戏影像经验。</t>
        </is>
      </c>
      <c r="P96" t="inlineStr">
        <is>
          <t>AIGC, 导演, 分镜, 角色一致性, 场景一致性, AI生图, AI视频, 剪辑, 配音配乐, 项目管理</t>
        </is>
      </c>
      <c r="Q96" t="inlineStr">
        <is>
          <t>岗位职责：理解原创IP、剧本和导演阐述，拆解镜头清单、视觉参考、路径、分工与节点；完成分镜、关键帧、一致性测试、图像视频生成、素材筛选、粗剪和声音包装；落实人物表演、场面调度、景别、运镜、光影与节奏；协调编导、美术、生成、剪辑及外部资源；参与审片并提出补镜、重构、转绘、实拍、CG或后期方案；维护素材、版本与制作记录。
任职要求：理解视听语言、表演、调度、剪辑和声音叙事；具备AIGC全链路制作能力；至少有一部深度参与的完整叙事作品并说明职责；熟悉图像、视频和大模型工作流；具备基础剪辑与后期判断；执行与沟通能力强，能管理版本和节点。
加分项：有影视剧、MV、广告、综艺或动画执行经验；在编剧、美术、摄影、剪辑、声音、合成、三维或生成工作流中有一项熟练；有原创IP、互动叙事或游戏影像经验。</t>
        </is>
      </c>
      <c r="R96" s="2" t="str">
        <f>=HYPERLINK("https://www.zhipin.com/zhaopin/47d1c60e9d9478af0nB_3tq_Eg~~/", "https://www.zhipin.com/zhaopin/47d1c60e9d9478af0nB_3tq_Eg~~/")</f>
        <v>https://www.zhipin.com/zhaopin/47d1c60e9d9478af0nB_3tq_Eg~~/</v>
      </c>
      <c r="S96" s="3">
        <v>46282</v>
      </c>
      <c r="T96" t="inlineStr">
        <is>
          <t>BOSS直聘岗位页截图；原文件：screenshot-20260917-015509.png。已按截图原文OCR清洗并拆分；截图未展示职位直链，来源链接沿用该表北京岗位检索页。</t>
        </is>
      </c>
    </row>
    <row r="97" ht="25.5" customHeight="1">
      <c r="A97" t="inlineStr">
        <is>
          <t>AIGC短剧制作</t>
        </is>
      </c>
      <c r="B97" t="inlineStr">
        <is>
          <t>北韵南风</t>
        </is>
      </c>
      <c r="C97" t="inlineStr">
        <is>
          <t>AI视频/AIGC制作</t>
        </is>
      </c>
      <c r="D97" t="inlineStr">
        <is>
          <t>9-11K</t>
        </is>
      </c>
      <c r="E97">
        <v>9</v>
      </c>
      <c r="F97">
        <v>11</v>
      </c>
      <c r="G97" t="inlineStr">
        <is>
          <t>北京</t>
        </is>
      </c>
      <c r="H97" t="inlineStr">
        <is>
          <t>3-5年</t>
        </is>
      </c>
      <c r="I97" t="inlineStr">
        <is>
          <t>大专</t>
        </is>
      </c>
      <c r="J97"/>
      <c r="K97"/>
      <c r="L97"/>
      <c r="M97" t="inlineStr">
        <is>
          <t>负责AIGC短剧脚本拆解与分镜设计；用Midjourney、Stable Diffusion生成角色设定和场景；用Runway、Pika制作动态镜头和关键帧动画合成；协同后期完成音效、字幕和成片；跟踪新技术并优化工作流。</t>
        </is>
      </c>
      <c r="N97" t="inlineStr">
        <is>
          <t>大专及以上，影视编导、数字媒体或相关专业优先；熟练使用AIGC绘画与视频工具，有完整短片或漫剧经验；精通PS、PR、AE；理解网络短剧趋势，能独立写分镜脚本；工作细致并能适应项目节奏。</t>
        </is>
      </c>
      <c r="O97" t="inlineStr">
        <is>
          <t>投递需附作品集。</t>
        </is>
      </c>
      <c r="P97" t="inlineStr">
        <is>
          <t>AIGC, 短剧制作, 脚本, 分镜, 角色设定, 场景制作, Midjourney, Stable Diffusion, Runway, Pika, 后期合成</t>
        </is>
      </c>
      <c r="Q97" t="inlineStr">
        <is>
          <t>岗位职责：负责AIGC短剧脚本拆解与分镜设计；用Midjourney、Stable Diffusion生成角色设定和场景；用Runway、Pika制作动态镜头和关键帧动画合成；协同后期完成音效、字幕和成片；跟踪新技术并优化工作流。
任职要求：大专及以上，影视编导、数字媒体或相关专业优先；熟练使用AIGC绘画与视频工具，有完整短片或漫剧经验；精通PS、PR、AE；理解网络短剧趋势，能独立写分镜脚本；工作细致并能适应项目节奏。
加分项：投递需附作品集。</t>
        </is>
      </c>
      <c r="R97" s="2" t="str">
        <f>=HYPERLINK("https://www.zhipin.com/zhaopin/47d1c60e9d9478af0nB_3tq_Eg~~/", "https://www.zhipin.com/zhaopin/47d1c60e9d9478af0nB_3tq_Eg~~/")</f>
        <v>https://www.zhipin.com/zhaopin/47d1c60e9d9478af0nB_3tq_Eg~~/</v>
      </c>
      <c r="S97" s="3">
        <v>46282</v>
      </c>
      <c r="T97" t="inlineStr">
        <is>
          <t>BOSS直聘岗位页截图；原文件：screenshot-20260917-015517.png。已按截图原文OCR清洗并拆分；截图未展示职位直链，来源链接沿用该表北京岗位检索页。</t>
        </is>
      </c>
    </row>
    <row r="98" ht="25.5" customHeight="1">
      <c r="A98" t="inlineStr">
        <is>
          <t>AIGC导演/编导</t>
        </is>
      </c>
      <c r="B98" t="inlineStr">
        <is>
          <t>声创矩阵</t>
        </is>
      </c>
      <c r="C98" t="inlineStr">
        <is>
          <t>导演/编导</t>
        </is>
      </c>
      <c r="D98" t="inlineStr">
        <is>
          <t>18-30K</t>
        </is>
      </c>
      <c r="E98">
        <v>18</v>
      </c>
      <c r="F98">
        <v>30</v>
      </c>
      <c r="G98" t="inlineStr">
        <is>
          <t>北京大兴区国锐广场</t>
        </is>
      </c>
      <c r="H98" t="inlineStr">
        <is>
          <t>1-3年</t>
        </is>
      </c>
      <c r="I98" t="inlineStr">
        <is>
          <t>学历不限</t>
        </is>
      </c>
      <c r="J98"/>
      <c r="K98"/>
      <c r="L98"/>
      <c r="M98" t="inlineStr">
        <is>
          <t>深入一线采集真实案例并挖掘叙事切口；撰写温情纪实、乡村振兴、民生帮扶、敬老助学和文明宣传题材脚本与旁白；输出标注景别、运镜、时长、画面、光影和氛围的专业分镜；与AIGC制作人协作并提出画面修改意见；围绕重要节点预判官媒传播；完成成片终审。</t>
        </is>
      </c>
      <c r="N98" t="inlineStr">
        <is>
          <t>2年以上公益短片、政务宣传片或纪实短片编导经验；精通镜头语言并擅长克制表达；必须随作品集提交完整分镜脚本；理解官媒主流审美和乡村振兴等政策方向；有代表作并具备基层调研、人物采访能力。</t>
        </is>
      </c>
      <c r="O98" t="inlineStr">
        <is>
          <t>有新闻采编、纪录片导演、县域乡镇社区拍摄、AI视频协作、60秒公益短片或独立带队经验；作品被央视、人民网或地方党政媒体转发。</t>
        </is>
      </c>
      <c r="P98" t="inlineStr">
        <is>
          <t>AIGC, 导演, 编剧, 脚本, 分镜, 镜头语言, 故事能力, 成片把控</t>
        </is>
      </c>
      <c r="Q98" t="inlineStr">
        <is>
          <t>岗位职责：深入一线采集真实案例并挖掘叙事切口；撰写温情纪实、乡村振兴、民生帮扶、敬老助学和文明宣传题材脚本与旁白；输出标注景别、运镜、时长、画面、光影和氛围的专业分镜；与AIGC制作人协作并提出画面修改意见；围绕重要节点预判官媒传播；完成成片终审。
任职要求：2年以上公益短片、政务宣传片或纪实短片编导经验；精通镜头语言并擅长克制表达；必须随作品集提交完整分镜脚本；理解官媒主流审美和乡村振兴等政策方向；有代表作并具备基层调研、人物采访能力。
加分项：有新闻采编、纪录片导演、县域乡镇社区拍摄、AI视频协作、60秒公益短片或独立带队经验；作品被央视、人民网或地方党政媒体转发。</t>
        </is>
      </c>
      <c r="R98" s="2" t="str">
        <f>=HYPERLINK("https://www.zhipin.com/zhaopin/47d1c60e9d9478af0nB_3tq_Eg~~/", "https://www.zhipin.com/zhaopin/47d1c60e9d9478af0nB_3tq_Eg~~/")</f>
        <v>https://www.zhipin.com/zhaopin/47d1c60e9d9478af0nB_3tq_Eg~~/</v>
      </c>
      <c r="S98" s="3">
        <v>46282</v>
      </c>
      <c r="T98" t="inlineStr">
        <is>
          <t>BOSS直聘岗位页截图；原文件：screenshot-20260917-015527.png。已按截图原文OCR清洗并拆分；截图未展示职位直链，来源链接沿用该表北京岗位检索页。</t>
        </is>
      </c>
    </row>
    <row r="99" ht="25.5" customHeight="1">
      <c r="A99" t="inlineStr">
        <is>
          <t>AIGC短视频编导（内容）</t>
        </is>
      </c>
      <c r="B99" t="inlineStr">
        <is>
          <t>MAX户外</t>
        </is>
      </c>
      <c r="C99" t="inlineStr">
        <is>
          <t>导演/编导</t>
        </is>
      </c>
      <c r="D99" t="inlineStr">
        <is>
          <t>10-15K</t>
        </is>
      </c>
      <c r="E99">
        <v>10</v>
      </c>
      <c r="F99">
        <v>15</v>
      </c>
      <c r="G99" t="inlineStr">
        <is>
          <t>北京朝阳区华彩大厦</t>
        </is>
      </c>
      <c r="H99" t="inlineStr">
        <is>
          <t>1-3年</t>
        </is>
      </c>
      <c r="I99" t="inlineStr">
        <is>
          <t>大专</t>
        </is>
      </c>
      <c r="J99"/>
      <c r="K99"/>
      <c r="L99"/>
      <c r="M99" t="inlineStr">
        <is>
          <t>规划账号选题和脚本，设计黄金3秒钩子、叙事结构与转化引导；独立完成脚本、数字人口播、场景和产品素材、剪辑包装调色的AI全流程，可融合实拍；围绕播放量、完播率、涨粉、点击转化和直播引流复盘；搭建AIGC素材库、Prompt模板与生产SOP。</t>
        </is>
      </c>
      <c r="N99" t="inlineStr">
        <is>
          <t>1至3年短视频编导或内容策划经验，有全流程AI短视频案例；熟悉AI文本、图像、数字人工具和剪映、Pr；理解抖音流量逻辑、爆款结构和垂类运营；有网感、叙事能力和自驱力。</t>
        </is>
      </c>
      <c r="O99" t="inlineStr">
        <is>
          <t>有户外或运动装备内容经验、百万播放作品或百万粉账号孵化、微短剧经验、AIGC SOP与素材模板库经验。</t>
        </is>
      </c>
      <c r="P99" t="inlineStr">
        <is>
          <t>AIGC, 短视频, 创意策划, 脚本, 剪辑, 调色, AI内容, 抖音, AI工作流, 素材库</t>
        </is>
      </c>
      <c r="Q99" t="inlineStr">
        <is>
          <t>岗位职责：规划账号选题和脚本，设计黄金3秒钩子、叙事结构与转化引导；独立完成脚本、数字人口播、场景和产品素材、剪辑包装调色的AI全流程，可融合实拍；围绕播放量、完播率、涨粉、点击转化和直播引流复盘；搭建AIGC素材库、Prompt模板与生产SOP。
任职要求：1至3年短视频编导或内容策划经验，有全流程AI短视频案例；熟悉AI文本、图像、数字人工具和剪映、Pr；理解抖音流量逻辑、爆款结构和垂类运营；有网感、叙事能力和自驱力。
加分项：有户外或运动装备内容经验、百万播放作品或百万粉账号孵化、微短剧经验、AIGC SOP与素材模板库经验。</t>
        </is>
      </c>
      <c r="R99" s="2" t="str">
        <f>=HYPERLINK("https://www.zhipin.com/zhaopin/47d1c60e9d9478af0nB_3tq_Eg~~/", "https://www.zhipin.com/zhaopin/47d1c60e9d9478af0nB_3tq_Eg~~/")</f>
        <v>https://www.zhipin.com/zhaopin/47d1c60e9d9478af0nB_3tq_Eg~~/</v>
      </c>
      <c r="S99" s="3">
        <v>46282</v>
      </c>
      <c r="T99" t="inlineStr">
        <is>
          <t>BOSS直聘岗位页截图；原文件：screenshot-20260917-015534.png。已按截图原文OCR清洗并拆分；截图未展示职位直链，来源链接沿用该表北京岗位检索页。</t>
        </is>
      </c>
    </row>
    <row r="100" ht="25.5" customHeight="1">
      <c r="A100" t="inlineStr">
        <is>
          <t>AIGC视频导演（全额社保六险一金）</t>
        </is>
      </c>
      <c r="B100" t="inlineStr">
        <is>
          <t>云智慧</t>
        </is>
      </c>
      <c r="C100" t="inlineStr">
        <is>
          <t>导演/编导</t>
        </is>
      </c>
      <c r="D100" t="inlineStr">
        <is>
          <t>15-25K</t>
        </is>
      </c>
      <c r="E100">
        <v>15</v>
      </c>
      <c r="F100">
        <v>25</v>
      </c>
      <c r="G100" t="inlineStr">
        <is>
          <t>北京朝阳区华瑞大厦</t>
        </is>
      </c>
      <c r="H100" t="inlineStr">
        <is>
          <t>经验不限</t>
        </is>
      </c>
      <c r="I100" t="inlineStr">
        <is>
          <t>大专</t>
        </is>
      </c>
      <c r="J100"/>
      <c r="K100"/>
      <c r="L100"/>
      <c r="M100" t="inlineStr">
        <is>
          <t>制作AI短剧和AI视频Demo；负责AI视频产品的客户演示与培训；主导客户POC，从需求沟通到成果演示全流程把控并推动商机转化；跟踪行业与竞品，沉淀解决方案和最佳实践。</t>
        </is>
      </c>
      <c r="N100" t="inlineStr">
        <is>
          <t>有AI短剧或AIGC内容制作经验、具备短剧导演能力优先；熟悉文生视频、文生图、AI配音和数字人等工具并有项目交付经验；沟通表达和方案宣讲能力强，能面向客户高层传递价值。</t>
        </is>
      </c>
      <c r="O100" t="inlineStr">
        <is>
          <t>有客户POC和产品培训经验。</t>
        </is>
      </c>
      <c r="P100" t="inlineStr">
        <is>
          <t>AIGC, 导演, 短剧, AI视频, AI生图, AI内容, 配音配乐, 项目管理</t>
        </is>
      </c>
      <c r="Q100" t="inlineStr">
        <is>
          <t>岗位职责：制作AI短剧和AI视频Demo；负责AI视频产品的客户演示与培训；主导客户POC，从需求沟通到成果演示全流程把控并推动商机转化；跟踪行业与竞品，沉淀解决方案和最佳实践。
任职要求：有AI短剧或AIGC内容制作经验、具备短剧导演能力优先；熟悉文生视频、文生图、AI配音和数字人等工具并有项目交付经验；沟通表达和方案宣讲能力强，能面向客户高层传递价值。
加分项：有客户POC和产品培训经验。</t>
        </is>
      </c>
      <c r="R100" s="2" t="str">
        <f>=HYPERLINK("https://www.zhipin.com/zhaopin/47d1c60e9d9478af0nB_3tq_Eg~~/", "https://www.zhipin.com/zhaopin/47d1c60e9d9478af0nB_3tq_Eg~~/")</f>
        <v>https://www.zhipin.com/zhaopin/47d1c60e9d9478af0nB_3tq_Eg~~/</v>
      </c>
      <c r="S100" s="3">
        <v>46282</v>
      </c>
      <c r="T100" t="inlineStr">
        <is>
          <t>BOSS直聘岗位页截图；原文件：screenshot-20260917-015543.png。已按截图原文OCR清洗并拆分；截图未展示职位直链，来源链接沿用该表北京岗位检索页。</t>
        </is>
      </c>
    </row>
    <row r="101" ht="25.5" customHeight="1">
      <c r="A101" t="inlineStr">
        <is>
          <t>AIGC多模态美学/五险一金/周末双休</t>
        </is>
      </c>
      <c r="B101" t="inlineStr">
        <is>
          <t>未披露（人惠人力代招）</t>
        </is>
      </c>
      <c r="C101" t="inlineStr">
        <is>
          <t>实习/其他</t>
        </is>
      </c>
      <c r="D101" t="inlineStr">
        <is>
          <t>12-16K</t>
        </is>
      </c>
      <c r="E101">
        <v>12</v>
      </c>
      <c r="F101">
        <v>16</v>
      </c>
      <c r="G101" t="inlineStr">
        <is>
          <t>北京海淀区快手总部</t>
        </is>
      </c>
      <c r="H101" t="inlineStr">
        <is>
          <t>1-3年</t>
        </is>
      </c>
      <c r="I101" t="inlineStr">
        <is>
          <t>本科</t>
        </is>
      </c>
      <c r="J101"/>
      <c r="K101"/>
      <c r="L101"/>
      <c r="M101" t="inlineStr">
        <is>
          <t>对大模型文生视频、图生视频的音视频结果进行主观质量评估、量化分级和badcase归因；判断常见生成问题；开展视频审核、编辑与竞品模型标注评测。</t>
        </is>
      </c>
      <c r="N101" t="inlineStr">
        <is>
          <t>本科，美术、艺术、美学、摄影、数字媒体、设计、动画、编导、导演或技术美术背景优先；有算法测试、数据标注或AIGC使用经验；熟悉音视频主观评估、影视制作标准和流程；AIGC视频深度创作者优先。</t>
        </is>
      </c>
      <c r="O101" t="inlineStr">
        <is>
          <t>有字节、阿里或百度实习经验；有Seedance、海螺、智谱、Vidu等竞品模型评测经验；26届应届生可投。</t>
        </is>
      </c>
      <c r="P101" t="inlineStr">
        <is>
          <t>AIGC, AI视频模型, Seedance, 海螺, Vidu, 影视制作, 视觉统筹, 构图</t>
        </is>
      </c>
      <c r="Q101" t="inlineStr">
        <is>
          <t>岗位职责：对大模型文生视频、图生视频的音视频结果进行主观质量评估、量化分级和badcase归因；判断常见生成问题；开展视频审核、编辑与竞品模型标注评测。
任职要求：本科，美术、艺术、美学、摄影、数字媒体、设计、动画、编导、导演或技术美术背景优先；有算法测试、数据标注或AIGC使用经验；熟悉音视频主观评估、影视制作标准和流程；AIGC视频深度创作者优先。
加分项：有字节、阿里或百度实习经验；有Seedance、海螺、智谱、Vidu等竞品模型评测经验；26届应届生可投。</t>
        </is>
      </c>
      <c r="R101" s="2" t="str">
        <f>=HYPERLINK("https://www.zhipin.com/zhaopin/47d1c60e9d9478af0nB_3tq_Eg~~/", "https://www.zhipin.com/zhaopin/47d1c60e9d9478af0nB_3tq_Eg~~/")</f>
        <v>https://www.zhipin.com/zhaopin/47d1c60e9d9478af0nB_3tq_Eg~~/</v>
      </c>
      <c r="S101" s="3">
        <v>46282</v>
      </c>
      <c r="T101" t="inlineStr">
        <is>
          <t>BOSS直聘岗位页截图；原文件：screenshot-20260917-015551.png。已按截图原文OCR清洗并拆分；截图未展示职位直链，来源链接沿用该表北京岗位检索页。</t>
        </is>
      </c>
    </row>
    <row r="102" ht="25.5" customHeight="1">
      <c r="A102" t="inlineStr">
        <is>
          <t>AIGC短剧导演</t>
        </is>
      </c>
      <c r="B102" t="inlineStr">
        <is>
          <t>北京海玛国际教育咨询</t>
        </is>
      </c>
      <c r="C102" t="inlineStr">
        <is>
          <t>导演/编导</t>
        </is>
      </c>
      <c r="D102" t="inlineStr">
        <is>
          <t>6-10K·13薪</t>
        </is>
      </c>
      <c r="E102">
        <v>6</v>
      </c>
      <c r="F102">
        <v>10</v>
      </c>
      <c r="G102" t="inlineStr">
        <is>
          <t>北京朝阳区比目鱼创业园</t>
        </is>
      </c>
      <c r="H102" t="inlineStr">
        <is>
          <t>在校/应届</t>
        </is>
      </c>
      <c r="I102" t="inlineStr">
        <is>
          <t>学历不限</t>
        </is>
      </c>
      <c r="J102"/>
      <c r="K102"/>
      <c r="L102"/>
      <c r="M102" t="inlineStr">
        <is>
          <t>负责AIGC驱动的漫剧内容创意策划与视觉叙事；利用AI完成分镜脚本、角色设定和剧情推进；优化生成内容的表现力与艺术一致性；探索新型漫剧表达并提升传播性与沉浸感。</t>
        </is>
      </c>
      <c r="N102" t="inlineStr">
        <is>
          <t>具备视觉叙事和创意敏感度，熟悉漫画、动画或短剧流程；了解AIGC工具并能高效生成迭代；对新兴数字内容有兴趣和跨媒介思维；协作和项目推动力良好，有创业精神；艺术、传媒类优先。</t>
        </is>
      </c>
      <c r="O102" t="inlineStr">
        <is>
          <t>底薪加项目后期收益分成，核心人员独立后可有股份；建议先查看账号“海玛也行吗？”。</t>
        </is>
      </c>
      <c r="P102" t="inlineStr">
        <is>
          <t>AIGC, 导演, AI漫剧, 创意策划, 分镜, 角色设定, 故事能力, 动画</t>
        </is>
      </c>
      <c r="Q102" t="inlineStr">
        <is>
          <t>岗位职责：负责AIGC驱动的漫剧内容创意策划与视觉叙事；利用AI完成分镜脚本、角色设定和剧情推进；优化生成内容的表现力与艺术一致性；探索新型漫剧表达并提升传播性与沉浸感。
任职要求：具备视觉叙事和创意敏感度，熟悉漫画、动画或短剧流程；了解AIGC工具并能高效生成迭代；对新兴数字内容有兴趣和跨媒介思维；协作和项目推动力良好，有创业精神；艺术、传媒类优先。
加分项：底薪加项目后期收益分成，核心人员独立后可有股份；建议先查看账号“海玛也行吗？”。</t>
        </is>
      </c>
      <c r="R102" s="2" t="str">
        <f>=HYPERLINK("https://www.zhipin.com/zhaopin/47d1c60e9d9478af0nB_3tq_Eg~~/", "https://www.zhipin.com/zhaopin/47d1c60e9d9478af0nB_3tq_Eg~~/")</f>
        <v>https://www.zhipin.com/zhaopin/47d1c60e9d9478af0nB_3tq_Eg~~/</v>
      </c>
      <c r="S102" s="3">
        <v>46282</v>
      </c>
      <c r="T102" t="inlineStr">
        <is>
          <t>BOSS直聘岗位页截图；原文件：screenshot-20260917-020243.png。已按截图原文OCR清洗并拆分；截图未展示职位直链，来源链接沿用该表北京岗位检索页。</t>
        </is>
      </c>
    </row>
    <row r="103" ht="25.5" customHeight="1">
      <c r="A103" t="inlineStr">
        <is>
          <t>导演/编导AIGC导演/AI编导</t>
        </is>
      </c>
      <c r="B103" t="inlineStr">
        <is>
          <t>社戏控股</t>
        </is>
      </c>
      <c r="C103" t="inlineStr">
        <is>
          <t>导演/编导</t>
        </is>
      </c>
      <c r="D103" t="inlineStr">
        <is>
          <t>12-24K</t>
        </is>
      </c>
      <c r="E103">
        <v>12</v>
      </c>
      <c r="F103">
        <v>24</v>
      </c>
      <c r="G103" t="inlineStr">
        <is>
          <t>北京朝阳区醉库国际文化创意园</t>
        </is>
      </c>
      <c r="H103" t="inlineStr">
        <is>
          <t>1-3年</t>
        </is>
      </c>
      <c r="I103" t="inlineStr">
        <is>
          <t>本科</t>
        </is>
      </c>
      <c r="J103"/>
      <c r="K103"/>
      <c r="L103"/>
      <c r="M103" t="inlineStr">
        <is>
          <t>负责创意脚本、角色设计、概念分镜到成片的全流程；面向欧美市场开发横竖屏短剧、互动叙事和宣传片；设计互动结构并把控节奏、留存和情感体验；协同技术与内容团队推进IP世界观可视化；独立发现问题、提出方案、用AI实现并持续优化至交付。</t>
        </is>
      </c>
      <c r="N103" t="inlineStr">
        <is>
          <t>具备故事和剧作能力、影视审美、视觉叙事与导演能力；熟悉图像、视频、声音等AIGC流程并能控制AI；能塑造有辨识度的角色并把控表演；逻辑与表达能力强；喜欢互动影游、乙女游戏、角色扮演和互动叙事；有AI海外短剧及实拍短剧总导演经验者优先。</t>
        </is>
      </c>
      <c r="O103" t="inlineStr">
        <is>
          <t>有电影、广告、MV、动画、游戏剧情或互动叙事经验；熟悉TikTok和北美市场；英文良好；有AI角色、虚拟网红、AI陪伴项目经验。正文薪资另写10-30K+，表头为12-24K。</t>
        </is>
      </c>
      <c r="P103" t="inlineStr">
        <is>
          <t>AIGC, 导演, 编剧, 短剧出海, 互动剧情, 角色设定, 角色表演, AI视频, 海外本土化, 成片把控</t>
        </is>
      </c>
      <c r="Q103" t="inlineStr">
        <is>
          <t>岗位职责：负责创意脚本、角色设计、概念分镜到成片的全流程；面向欧美市场开发横竖屏短剧、互动叙事和宣传片；设计互动结构并把控节奏、留存和情感体验；协同技术与内容团队推进IP世界观可视化；独立发现问题、提出方案、用AI实现并持续优化至交付。
任职要求：具备故事和剧作能力、影视审美、视觉叙事与导演能力；熟悉图像、视频、声音等AIGC流程并能控制AI；能塑造有辨识度的角色并把控表演；逻辑与表达能力强；喜欢互动影游、乙女游戏、角色扮演和互动叙事；有AI海外短剧及实拍短剧总导演经验者优先。
加分项：有电影、广告、MV、动画、游戏剧情或互动叙事经验；熟悉TikTok和北美市场；英文良好；有AI角色、虚拟网红、AI陪伴项目经验。正文薪资另写10-30K+，表头为12-24K。</t>
        </is>
      </c>
      <c r="R103" s="2" t="str">
        <f>=HYPERLINK("https://www.zhipin.com/zhaopin/47d1c60e9d9478af0nB_3tq_Eg~~/", "https://www.zhipin.com/zhaopin/47d1c60e9d9478af0nB_3tq_Eg~~/")</f>
        <v>https://www.zhipin.com/zhaopin/47d1c60e9d9478af0nB_3tq_Eg~~/</v>
      </c>
      <c r="S103" s="3">
        <v>46282</v>
      </c>
      <c r="T103" t="inlineStr">
        <is>
          <t>BOSS直聘岗位页截图；原文件：screenshot-20260917-020258.png。已按截图原文OCR清洗并拆分；截图未展示职位直链，来源链接沿用该表北京岗位检索页。</t>
        </is>
      </c>
    </row>
    <row r="104" ht="25.5" customHeight="1">
      <c r="A104" t="inlineStr">
        <is>
          <t>AIGC导演</t>
        </is>
      </c>
      <c r="B104" t="inlineStr">
        <is>
          <t>好有本领</t>
        </is>
      </c>
      <c r="C104" t="inlineStr">
        <is>
          <t>导演/编导</t>
        </is>
      </c>
      <c r="D104" t="inlineStr">
        <is>
          <t>25-50K</t>
        </is>
      </c>
      <c r="E104">
        <v>25</v>
      </c>
      <c r="F104">
        <v>50</v>
      </c>
      <c r="G104" t="inlineStr">
        <is>
          <t>北京朝阳区</t>
        </is>
      </c>
      <c r="H104" t="inlineStr">
        <is>
          <t>5-10年</t>
        </is>
      </c>
      <c r="I104" t="inlineStr">
        <is>
          <t>本科</t>
        </is>
      </c>
      <c r="J104"/>
      <c r="K104"/>
      <c r="L104"/>
      <c r="M104" t="inlineStr">
        <is>
          <t>主导AI短剧创意方向，确定角色、场景和动态风格；研读剧本并制定视觉方案；把文字剧本转化为分镜脚本，设计景别、构图、运动和表演；用AI优化角色、场景和动态素材；设计口型同步、中间帧等AI动态化流程；统筹AI技术和后期团队并协调编剧、配音、音乐合作方。</t>
        </is>
      </c>
      <c r="N104" t="inlineStr">
        <is>
          <t>3年以上动画、动态漫或影视导演经验，理解二次元、科幻、玄幻市场并有完整作品集；熟练设计分镜和动态分镜，掌握AE、Premiere、Photoshop等；精通动态视觉语言和动画节奏；熟练使用AI绘画或视频工具；具备独立工作、领导和全流程把控能力。</t>
        </is>
      </c>
      <c r="O104" t="inlineStr">
        <is>
          <t>提供Demo或成功上线案例者优先。</t>
        </is>
      </c>
      <c r="P104" t="inlineStr">
        <is>
          <t>AIGC, 导演, 短剧, 分镜, 动态分镜, 角色设定, 场景制作, 角色表演, 动画制作, 项目管理</t>
        </is>
      </c>
      <c r="Q104" t="inlineStr">
        <is>
          <t>岗位职责：主导AI短剧创意方向，确定角色、场景和动态风格；研读剧本并制定视觉方案；把文字剧本转化为分镜脚本，设计景别、构图、运动和表演；用AI优化角色、场景和动态素材；设计口型同步、中间帧等AI动态化流程；统筹AI技术和后期团队并协调编剧、配音、音乐合作方。
任职要求：3年以上动画、动态漫或影视导演经验，理解二次元、科幻、玄幻市场并有完整作品集；熟练设计分镜和动态分镜，掌握AE、Premiere、Photoshop等；精通动态视觉语言和动画节奏；熟练使用AI绘画或视频工具；具备独立工作、领导和全流程把控能力。
加分项：提供Demo或成功上线案例者优先。</t>
        </is>
      </c>
      <c r="R104" s="2" t="str">
        <f>=HYPERLINK("https://www.zhipin.com/zhaopin/47d1c60e9d9478af0nB_3tq_Eg~~/", "https://www.zhipin.com/zhaopin/47d1c60e9d9478af0nB_3tq_Eg~~/")</f>
        <v>https://www.zhipin.com/zhaopin/47d1c60e9d9478af0nB_3tq_Eg~~/</v>
      </c>
      <c r="S104" s="3">
        <v>46282</v>
      </c>
      <c r="T104" t="inlineStr">
        <is>
          <t>BOSS直聘岗位页截图；原文件：screenshot-20260917-020310.png。已按截图原文OCR清洗并拆分；截图未展示职位直链，来源链接沿用该表北京岗位检索页。</t>
        </is>
      </c>
    </row>
    <row r="105" ht="25.5" customHeight="1">
      <c r="A105" t="inlineStr">
        <is>
          <t>AIGC影视导演</t>
        </is>
      </c>
      <c r="B105" t="inlineStr">
        <is>
          <t>长空一画</t>
        </is>
      </c>
      <c r="C105" t="inlineStr">
        <is>
          <t>导演/编导</t>
        </is>
      </c>
      <c r="D105" t="inlineStr">
        <is>
          <t>11-20K</t>
        </is>
      </c>
      <c r="E105">
        <v>11</v>
      </c>
      <c r="F105">
        <v>20</v>
      </c>
      <c r="G105" t="inlineStr">
        <is>
          <t>北京朝阳区DREAM2049国际文创产业园</t>
        </is>
      </c>
      <c r="H105" t="inlineStr">
        <is>
          <t>3-5年</t>
        </is>
      </c>
      <c r="I105" t="inlineStr">
        <is>
          <t>大专</t>
        </is>
      </c>
      <c r="J105"/>
      <c r="K105"/>
      <c r="L105"/>
      <c r="M105" t="inlineStr">
        <is>
          <t>深度分析剧本并提炼叙事逻辑和视觉需求，完成文字到影像的方案；主导分镜、画风、镜头语言和节奏，确立统一视觉风格；协调编剧、美术和后期，从导演视角优化剧本、角色设定和剪辑节奏；了解AI视频与图像生成流程。</t>
        </is>
      </c>
      <c r="N105" t="inlineStr">
        <is>
          <t>具备影视导演思维和扎实的视听语言功底；能通过分镜、草图传达构想，把抽象叙事转为可执行视觉方案；有传统或AI方向导演经验；了解Midjourney、可灵、Runway、Seedance等工具。</t>
        </is>
      </c>
      <c r="O105" t="inlineStr">
        <is>
          <t>有电影或电视剧项目经验。</t>
        </is>
      </c>
      <c r="P105" t="inlineStr">
        <is>
          <t>AIGC, 导演, 剧本分析, 分镜, 视觉统筹, 镜头语言, Midjourney, 可灵, Runway, Seedance</t>
        </is>
      </c>
      <c r="Q105" t="inlineStr">
        <is>
          <t>岗位职责：深度分析剧本并提炼叙事逻辑和视觉需求，完成文字到影像的方案；主导分镜、画风、镜头语言和节奏，确立统一视觉风格；协调编剧、美术和后期，从导演视角优化剧本、角色设定和剪辑节奏；了解AI视频与图像生成流程。
任职要求：具备影视导演思维和扎实的视听语言功底；能通过分镜、草图传达构想，把抽象叙事转为可执行视觉方案；有传统或AI方向导演经验；了解Midjourney、可灵、Runway、Seedance等工具。
加分项：有电影或电视剧项目经验。</t>
        </is>
      </c>
      <c r="R105" s="2" t="str">
        <f>=HYPERLINK("https://www.zhipin.com/zhaopin/47d1c60e9d9478af0nB_3tq_Eg~~/", "https://www.zhipin.com/zhaopin/47d1c60e9d9478af0nB_3tq_Eg~~/")</f>
        <v>https://www.zhipin.com/zhaopin/47d1c60e9d9478af0nB_3tq_Eg~~/</v>
      </c>
      <c r="S105" s="3">
        <v>46282</v>
      </c>
      <c r="T105" t="inlineStr">
        <is>
          <t>BOSS直聘岗位页截图；原文件：screenshot-20260917-020318.png。已按截图原文OCR清洗并拆分；截图未展示职位直链，来源链接沿用该表北京岗位检索页。</t>
        </is>
      </c>
    </row>
  </sheetData>
  <dataValidations count="2">
    <dataValidation allowBlank="false" sqref="C2:C104" type="list">
      <formula1>"AI漫剧制作,AI视频/AIGC制作,导演/编导,编剧/内容,实习/其他"</formula1>
    </dataValidation>
    <dataValidation allowBlank="false" sqref="I2:I104" type="list">
      <formula1>"本科,学历不限,大专"</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